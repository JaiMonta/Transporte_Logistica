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FLETES 02 AL 06-12-24\"/>
    </mc:Choice>
  </mc:AlternateContent>
  <xr:revisionPtr revIDLastSave="0" documentId="13_ncr:1_{76E741E1-AC8F-4F05-91D9-A04B32B70687}" xr6:coauthVersionLast="47" xr6:coauthVersionMax="47" xr10:uidLastSave="{00000000-0000-0000-0000-000000000000}"/>
  <bookViews>
    <workbookView xWindow="-120" yWindow="-120" windowWidth="20640" windowHeight="11760" tabRatio="609" activeTab="6" xr2:uid="{00000000-000D-0000-FFFF-FFFF00000000}"/>
  </bookViews>
  <sheets>
    <sheet name="RELACIÓN" sheetId="34" r:id="rId1"/>
    <sheet name="CALETAS EXT" sheetId="36" r:id="rId2"/>
    <sheet name="FACTURAS" sheetId="35" r:id="rId3"/>
    <sheet name="Imprimir" sheetId="39" r:id="rId4"/>
    <sheet name="CALCULOS" sheetId="32" r:id="rId5"/>
    <sheet name="Tabulador" sheetId="38" r:id="rId6"/>
    <sheet name="Hoja1" sheetId="40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RELACIÓN!$A$4:$L$45</definedName>
    <definedName name="_xlnm.Print_Area" localSheetId="0">RELACIÓN!$A$1:$S$91</definedName>
    <definedName name="_xlnm.Print_Area" localSheetId="5">Tabulador!$A$16:$P$114</definedName>
    <definedName name="Bultos_Despa" localSheetId="4">'[1]Dertalles de Carga'!#REF!</definedName>
    <definedName name="Bultos_Despa" localSheetId="0">'[2]Dertalles de Carga'!#REF!</definedName>
    <definedName name="Bultos_Despa" localSheetId="5">'[2]Dertalles de Carga'!#REF!</definedName>
    <definedName name="Bultos_Despa">'[2]Dertalles de Carga'!#REF!</definedName>
    <definedName name="Excel_BuiltIn__FilterDatabase_3_1" localSheetId="4">'[3]CARGA ALM.PPAL'!#REF!</definedName>
    <definedName name="Excel_BuiltIn__FilterDatabase_3_1" localSheetId="0">'[4]CARGA ALM.PPAL'!#REF!</definedName>
    <definedName name="Excel_BuiltIn__FilterDatabase_3_1" localSheetId="5">'[5]CARGA ALM.PPAL'!#REF!</definedName>
    <definedName name="Excel_BuiltIn__FilterDatabase_3_1">'[5]CARGA ALM.PPAL'!#REF!</definedName>
    <definedName name="Fecha_Cli_Catg" localSheetId="4">'[1]Dertalles de Carga'!#REF!</definedName>
    <definedName name="Fecha_Cli_Catg" localSheetId="0">'[2]Dertalles de Carga'!#REF!</definedName>
    <definedName name="Fecha_Cli_Catg" localSheetId="5">'[2]Dertalles de Carga'!#REF!</definedName>
    <definedName name="Fecha_Cli_Catg">'[2]Dertalles de Carga'!#REF!</definedName>
    <definedName name="Kilos_Confites" localSheetId="4">'[1]Dertalles de Carga'!#REF!</definedName>
    <definedName name="Kilos_Confites" localSheetId="0">'[2]Dertalles de Carga'!#REF!</definedName>
    <definedName name="Kilos_Confites" localSheetId="5">'[2]Dertalles de Carga'!#REF!</definedName>
    <definedName name="Kilos_Confites">'[2]Dertalles de Carga'!#REF!</definedName>
    <definedName name="Kilos_Pasta" localSheetId="4">'[1]Dertalles de Carga'!#REF!</definedName>
    <definedName name="Kilos_Pasta" localSheetId="0">'[2]Dertalles de Carga'!#REF!</definedName>
    <definedName name="Kilos_Pasta" localSheetId="5">'[2]Dertalles de Carga'!#REF!</definedName>
    <definedName name="Kilos_Pasta">'[2]Dertalles de Carga'!#REF!</definedName>
    <definedName name="_xlnm.Print_Titles" localSheetId="5">Tabulador!$15:$15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K45" i="34" l="1"/>
  <c r="AK44" i="34"/>
  <c r="AK43" i="34"/>
  <c r="AK42" i="34"/>
  <c r="AK41" i="34"/>
  <c r="AK40" i="34"/>
  <c r="AK39" i="34"/>
  <c r="AK38" i="34"/>
  <c r="AK37" i="34"/>
  <c r="AK36" i="34"/>
  <c r="AK35" i="34"/>
  <c r="AK34" i="34"/>
  <c r="AK33" i="34"/>
  <c r="AK32" i="34"/>
  <c r="AK31" i="34"/>
  <c r="AK30" i="34"/>
  <c r="AK29" i="34"/>
  <c r="AK28" i="34"/>
  <c r="AK27" i="34"/>
  <c r="AK26" i="34"/>
  <c r="AK25" i="34"/>
  <c r="AK24" i="34"/>
  <c r="AK22" i="34"/>
  <c r="AK21" i="34"/>
  <c r="AK20" i="34"/>
  <c r="AK19" i="34"/>
  <c r="AK18" i="34"/>
  <c r="AK17" i="34"/>
  <c r="AK16" i="34"/>
  <c r="AK15" i="34"/>
  <c r="AK14" i="34"/>
  <c r="AK13" i="34"/>
  <c r="AK12" i="34"/>
  <c r="AK11" i="34"/>
  <c r="AK10" i="34"/>
  <c r="AK9" i="34"/>
  <c r="AK8" i="34"/>
  <c r="AK7" i="34"/>
  <c r="AK6" i="34"/>
  <c r="AK5" i="34"/>
  <c r="O45" i="39" l="1"/>
  <c r="M45" i="39"/>
  <c r="K45" i="39"/>
  <c r="O44" i="39"/>
  <c r="M44" i="39"/>
  <c r="K44" i="39"/>
  <c r="P43" i="39"/>
  <c r="O43" i="39"/>
  <c r="N43" i="39"/>
  <c r="M43" i="39"/>
  <c r="L43" i="39"/>
  <c r="K43" i="39"/>
  <c r="O42" i="39"/>
  <c r="M42" i="39"/>
  <c r="K42" i="39"/>
  <c r="O41" i="39"/>
  <c r="M41" i="39"/>
  <c r="K41" i="39"/>
  <c r="P40" i="39"/>
  <c r="O40" i="39"/>
  <c r="N40" i="39"/>
  <c r="M40" i="39"/>
  <c r="L40" i="39"/>
  <c r="K40" i="39"/>
  <c r="K39" i="39"/>
  <c r="H45" i="39"/>
  <c r="F45" i="39"/>
  <c r="H44" i="39"/>
  <c r="F44" i="39"/>
  <c r="I43" i="39"/>
  <c r="H43" i="39"/>
  <c r="G43" i="39"/>
  <c r="F43" i="39"/>
  <c r="H42" i="39"/>
  <c r="F42" i="39"/>
  <c r="H41" i="39"/>
  <c r="F41" i="39"/>
  <c r="I40" i="39"/>
  <c r="H40" i="39"/>
  <c r="G40" i="39"/>
  <c r="F40" i="39"/>
  <c r="E43" i="39"/>
  <c r="E40" i="39"/>
  <c r="AK37" i="39" l="1"/>
  <c r="AJ37" i="39"/>
  <c r="AK36" i="39"/>
  <c r="AJ36" i="39"/>
  <c r="AK3" i="39"/>
  <c r="AJ3" i="39"/>
  <c r="AI37" i="39"/>
  <c r="AH37" i="39"/>
  <c r="AG37" i="39"/>
  <c r="AF37" i="39"/>
  <c r="AE37" i="39"/>
  <c r="AD37" i="39"/>
  <c r="AC37" i="39"/>
  <c r="AI36" i="39"/>
  <c r="AH36" i="39"/>
  <c r="AG36" i="39"/>
  <c r="AF36" i="39"/>
  <c r="AE36" i="39"/>
  <c r="AD36" i="39"/>
  <c r="AC36" i="39"/>
  <c r="AI3" i="39"/>
  <c r="AH3" i="39"/>
  <c r="AG3" i="39"/>
  <c r="AF3" i="39"/>
  <c r="AE3" i="39"/>
  <c r="AD3" i="39"/>
  <c r="AC3" i="39"/>
  <c r="AY45" i="34" l="1"/>
  <c r="AR45" i="34" s="1"/>
  <c r="AX45" i="34"/>
  <c r="AD45" i="34" s="1"/>
  <c r="AY44" i="34"/>
  <c r="AR44" i="34" s="1"/>
  <c r="AX44" i="34"/>
  <c r="AD44" i="34" s="1"/>
  <c r="AY43" i="34"/>
  <c r="AR43" i="34" s="1"/>
  <c r="AX43" i="34"/>
  <c r="AD43" i="34" s="1"/>
  <c r="AY42" i="34"/>
  <c r="AR42" i="34" s="1"/>
  <c r="AX42" i="34"/>
  <c r="AD42" i="34" s="1"/>
  <c r="AY41" i="34"/>
  <c r="AR41" i="34" s="1"/>
  <c r="AX41" i="34"/>
  <c r="AD41" i="34" s="1"/>
  <c r="AY40" i="34"/>
  <c r="AR40" i="34" s="1"/>
  <c r="AX40" i="34"/>
  <c r="AD40" i="34" s="1"/>
  <c r="AY39" i="34"/>
  <c r="AR39" i="34" s="1"/>
  <c r="AX39" i="34"/>
  <c r="AD39" i="34" s="1"/>
  <c r="AY38" i="34"/>
  <c r="AR38" i="34" s="1"/>
  <c r="AX38" i="34"/>
  <c r="AD38" i="34" s="1"/>
  <c r="AY37" i="34"/>
  <c r="AR37" i="34" s="1"/>
  <c r="AX37" i="34"/>
  <c r="AD37" i="34" s="1"/>
  <c r="AY36" i="34"/>
  <c r="AR36" i="34" s="1"/>
  <c r="AX36" i="34"/>
  <c r="AD36" i="34" s="1"/>
  <c r="AY35" i="34"/>
  <c r="AR35" i="34" s="1"/>
  <c r="AX35" i="34"/>
  <c r="AD35" i="34" s="1"/>
  <c r="AY34" i="34"/>
  <c r="AR34" i="34" s="1"/>
  <c r="AX34" i="34"/>
  <c r="AD34" i="34" s="1"/>
  <c r="AY33" i="34"/>
  <c r="AR33" i="34" s="1"/>
  <c r="AX33" i="34"/>
  <c r="AD33" i="34" s="1"/>
  <c r="AY32" i="34"/>
  <c r="AR32" i="34" s="1"/>
  <c r="AX32" i="34"/>
  <c r="AD32" i="34" s="1"/>
  <c r="AY31" i="34"/>
  <c r="AR31" i="34" s="1"/>
  <c r="AX31" i="34"/>
  <c r="AD31" i="34" s="1"/>
  <c r="AY30" i="34"/>
  <c r="AR30" i="34" s="1"/>
  <c r="AX30" i="34"/>
  <c r="AD30" i="34" s="1"/>
  <c r="AY29" i="34"/>
  <c r="AR29" i="34" s="1"/>
  <c r="AX29" i="34"/>
  <c r="AD29" i="34" s="1"/>
  <c r="AY28" i="34"/>
  <c r="AR28" i="34" s="1"/>
  <c r="AX28" i="34"/>
  <c r="AD28" i="34" s="1"/>
  <c r="AY27" i="34"/>
  <c r="AR27" i="34" s="1"/>
  <c r="AX27" i="34"/>
  <c r="AD27" i="34" s="1"/>
  <c r="AY26" i="34"/>
  <c r="AR26" i="34" s="1"/>
  <c r="AX26" i="34"/>
  <c r="AD26" i="34" s="1"/>
  <c r="AY25" i="34"/>
  <c r="AR25" i="34" s="1"/>
  <c r="AX25" i="34"/>
  <c r="AD25" i="34" s="1"/>
  <c r="AY24" i="34"/>
  <c r="AR24" i="34" s="1"/>
  <c r="AX24" i="34"/>
  <c r="AD24" i="34" s="1"/>
  <c r="AY23" i="34"/>
  <c r="AX23" i="34"/>
  <c r="AY22" i="34"/>
  <c r="AR22" i="34" s="1"/>
  <c r="AX22" i="34"/>
  <c r="AD22" i="34" s="1"/>
  <c r="AY21" i="34"/>
  <c r="AR21" i="34" s="1"/>
  <c r="AX21" i="34"/>
  <c r="AD21" i="34" s="1"/>
  <c r="AY20" i="34"/>
  <c r="AR20" i="34" s="1"/>
  <c r="AX20" i="34"/>
  <c r="AD20" i="34" s="1"/>
  <c r="AY19" i="34"/>
  <c r="AR19" i="34" s="1"/>
  <c r="AX19" i="34"/>
  <c r="AD19" i="34" s="1"/>
  <c r="AY18" i="34"/>
  <c r="AR18" i="34" s="1"/>
  <c r="AX18" i="34"/>
  <c r="AD18" i="34" s="1"/>
  <c r="AY17" i="34"/>
  <c r="AR17" i="34" s="1"/>
  <c r="AX17" i="34"/>
  <c r="AD17" i="34" s="1"/>
  <c r="AY16" i="34"/>
  <c r="AR16" i="34" s="1"/>
  <c r="AX16" i="34"/>
  <c r="AD16" i="34" s="1"/>
  <c r="AY15" i="34"/>
  <c r="AR15" i="34" s="1"/>
  <c r="AX15" i="34"/>
  <c r="AD15" i="34" s="1"/>
  <c r="AY14" i="34"/>
  <c r="AR14" i="34" s="1"/>
  <c r="AX14" i="34"/>
  <c r="AD14" i="34" s="1"/>
  <c r="AY13" i="34"/>
  <c r="AR13" i="34" s="1"/>
  <c r="AX13" i="34"/>
  <c r="AD13" i="34" s="1"/>
  <c r="AY12" i="34"/>
  <c r="AR12" i="34" s="1"/>
  <c r="AX12" i="34"/>
  <c r="AD12" i="34" s="1"/>
  <c r="AY11" i="34"/>
  <c r="AR11" i="34" s="1"/>
  <c r="AX11" i="34"/>
  <c r="AD11" i="34" s="1"/>
  <c r="AY10" i="34"/>
  <c r="AR10" i="34" s="1"/>
  <c r="AX10" i="34"/>
  <c r="AD10" i="34" s="1"/>
  <c r="AY9" i="34"/>
  <c r="AR9" i="34" s="1"/>
  <c r="AX9" i="34"/>
  <c r="AD9" i="34" s="1"/>
  <c r="AY8" i="34"/>
  <c r="AR8" i="34" s="1"/>
  <c r="AX8" i="34"/>
  <c r="AD8" i="34" s="1"/>
  <c r="AY7" i="34"/>
  <c r="AR7" i="34" s="1"/>
  <c r="AX7" i="34"/>
  <c r="AD7" i="34" s="1"/>
  <c r="AY6" i="34"/>
  <c r="AX6" i="34"/>
  <c r="AY5" i="34"/>
  <c r="AR5" i="34" s="1"/>
  <c r="AX5" i="34"/>
  <c r="AD5" i="34" s="1"/>
  <c r="AY4" i="34"/>
  <c r="AX4" i="34"/>
  <c r="H78" i="34" l="1"/>
  <c r="T21" i="35" l="1"/>
  <c r="AO54" i="34" l="1"/>
  <c r="P44" i="39" s="1"/>
  <c r="AH54" i="34"/>
  <c r="AK54" i="34"/>
  <c r="L44" i="39" s="1"/>
  <c r="AM54" i="34"/>
  <c r="N44" i="39" s="1"/>
  <c r="AN45" i="34"/>
  <c r="AM45" i="34"/>
  <c r="AL45" i="34"/>
  <c r="AJ45" i="34"/>
  <c r="AI45" i="34"/>
  <c r="AN44" i="34"/>
  <c r="AM44" i="34"/>
  <c r="AL44" i="34"/>
  <c r="AJ44" i="34"/>
  <c r="AI44" i="34"/>
  <c r="AN43" i="34"/>
  <c r="AM43" i="34"/>
  <c r="AL43" i="34"/>
  <c r="AJ43" i="34"/>
  <c r="AI43" i="34"/>
  <c r="AN42" i="34"/>
  <c r="AM42" i="34"/>
  <c r="AL42" i="34"/>
  <c r="AJ42" i="34"/>
  <c r="AI42" i="34"/>
  <c r="AN41" i="34"/>
  <c r="AM41" i="34"/>
  <c r="AL41" i="34"/>
  <c r="AJ41" i="34"/>
  <c r="AI41" i="34"/>
  <c r="AN40" i="34"/>
  <c r="AM40" i="34"/>
  <c r="AL40" i="34"/>
  <c r="AJ40" i="34"/>
  <c r="AI40" i="34"/>
  <c r="AN39" i="34"/>
  <c r="AM39" i="34"/>
  <c r="AL39" i="34"/>
  <c r="AJ39" i="34"/>
  <c r="AI39" i="34"/>
  <c r="AM38" i="34"/>
  <c r="AL38" i="34"/>
  <c r="AN37" i="34"/>
  <c r="AM37" i="34"/>
  <c r="AL37" i="34"/>
  <c r="AJ37" i="34"/>
  <c r="AI37" i="34"/>
  <c r="AN36" i="34"/>
  <c r="AM36" i="34"/>
  <c r="AL36" i="34"/>
  <c r="AJ36" i="34"/>
  <c r="AI36" i="34"/>
  <c r="AN35" i="34"/>
  <c r="AM35" i="34"/>
  <c r="AL35" i="34"/>
  <c r="AJ35" i="34"/>
  <c r="AI35" i="34"/>
  <c r="AN34" i="34"/>
  <c r="AM34" i="34"/>
  <c r="AL34" i="34"/>
  <c r="AJ34" i="34"/>
  <c r="AI34" i="34"/>
  <c r="AN33" i="34"/>
  <c r="AM33" i="34"/>
  <c r="AL33" i="34"/>
  <c r="AJ33" i="34"/>
  <c r="AI33" i="34"/>
  <c r="AN32" i="34"/>
  <c r="AM32" i="34"/>
  <c r="AL32" i="34"/>
  <c r="AJ32" i="34"/>
  <c r="AI32" i="34"/>
  <c r="AN31" i="34"/>
  <c r="AM31" i="34"/>
  <c r="AL31" i="34"/>
  <c r="AJ31" i="34"/>
  <c r="AI31" i="34"/>
  <c r="AN30" i="34"/>
  <c r="AM30" i="34"/>
  <c r="AL30" i="34"/>
  <c r="AJ30" i="34"/>
  <c r="AI30" i="34"/>
  <c r="AN29" i="34"/>
  <c r="AM29" i="34"/>
  <c r="AL29" i="34"/>
  <c r="AJ29" i="34"/>
  <c r="AI29" i="34"/>
  <c r="AN28" i="34"/>
  <c r="AM28" i="34"/>
  <c r="AL28" i="34"/>
  <c r="AJ28" i="34"/>
  <c r="AI28" i="34"/>
  <c r="AN27" i="34"/>
  <c r="AM27" i="34"/>
  <c r="AL27" i="34"/>
  <c r="AJ27" i="34"/>
  <c r="AI27" i="34"/>
  <c r="AM26" i="34"/>
  <c r="AL26" i="34"/>
  <c r="AN25" i="34"/>
  <c r="AM25" i="34"/>
  <c r="AL25" i="34"/>
  <c r="AN24" i="34"/>
  <c r="AM24" i="34"/>
  <c r="AL24" i="34"/>
  <c r="AJ24" i="34"/>
  <c r="AI24" i="34"/>
  <c r="AN23" i="34"/>
  <c r="AM23" i="34"/>
  <c r="AN22" i="34"/>
  <c r="AM22" i="34"/>
  <c r="AL22" i="34"/>
  <c r="AJ22" i="34"/>
  <c r="AI22" i="34"/>
  <c r="AN21" i="34"/>
  <c r="AM21" i="34"/>
  <c r="AN20" i="34"/>
  <c r="AM20" i="34"/>
  <c r="AL20" i="34"/>
  <c r="AJ20" i="34"/>
  <c r="AN19" i="34"/>
  <c r="AM19" i="34"/>
  <c r="AL19" i="34"/>
  <c r="AN18" i="34"/>
  <c r="AM18" i="34"/>
  <c r="AL18" i="34"/>
  <c r="AJ18" i="34"/>
  <c r="AN17" i="34"/>
  <c r="AM17" i="34"/>
  <c r="AN16" i="34"/>
  <c r="AM16" i="34"/>
  <c r="AL16" i="34"/>
  <c r="AJ16" i="34"/>
  <c r="AI16" i="34"/>
  <c r="AN15" i="34"/>
  <c r="AM15" i="34"/>
  <c r="AN14" i="34"/>
  <c r="AM14" i="34"/>
  <c r="AL14" i="34"/>
  <c r="AN13" i="34"/>
  <c r="AM13" i="34"/>
  <c r="AL13" i="34"/>
  <c r="AJ13" i="34"/>
  <c r="AI13" i="34"/>
  <c r="AN12" i="34"/>
  <c r="AM12" i="34"/>
  <c r="AL12" i="34"/>
  <c r="AJ12" i="34"/>
  <c r="AI12" i="34"/>
  <c r="AN11" i="34"/>
  <c r="AM11" i="34"/>
  <c r="AL11" i="34"/>
  <c r="AN10" i="34"/>
  <c r="AM10" i="34"/>
  <c r="AL10" i="34"/>
  <c r="AN9" i="34"/>
  <c r="AM9" i="34"/>
  <c r="AL9" i="34"/>
  <c r="AJ9" i="34"/>
  <c r="AN8" i="34"/>
  <c r="AM8" i="34"/>
  <c r="AL8" i="34"/>
  <c r="AN7" i="34"/>
  <c r="AM7" i="34"/>
  <c r="AL7" i="34"/>
  <c r="AN6" i="34"/>
  <c r="AM6" i="34"/>
  <c r="AN5" i="34"/>
  <c r="AM5" i="34"/>
  <c r="AN4" i="34"/>
  <c r="AM4" i="34"/>
  <c r="AU5" i="34"/>
  <c r="AI5" i="39" s="1"/>
  <c r="AS7" i="34"/>
  <c r="AG7" i="39" s="1"/>
  <c r="AF8" i="39"/>
  <c r="AU9" i="34"/>
  <c r="AI9" i="39" s="1"/>
  <c r="AT10" i="34"/>
  <c r="AH10" i="39" s="1"/>
  <c r="AS11" i="34"/>
  <c r="AG11" i="39" s="1"/>
  <c r="AF12" i="39"/>
  <c r="AS13" i="34"/>
  <c r="AG13" i="39" s="1"/>
  <c r="AS14" i="34"/>
  <c r="AG14" i="39" s="1"/>
  <c r="AF15" i="39"/>
  <c r="AU18" i="34"/>
  <c r="AI18" i="39" s="1"/>
  <c r="AT19" i="34"/>
  <c r="AH19" i="39" s="1"/>
  <c r="AF20" i="39"/>
  <c r="AT22" i="34"/>
  <c r="AH22" i="39" s="1"/>
  <c r="AT26" i="34"/>
  <c r="AH26" i="39" s="1"/>
  <c r="AF27" i="39"/>
  <c r="AQ28" i="34"/>
  <c r="AE28" i="39" s="1"/>
  <c r="AU29" i="34"/>
  <c r="AI29" i="39" s="1"/>
  <c r="AP30" i="34"/>
  <c r="AD30" i="39" s="1"/>
  <c r="AU40" i="34"/>
  <c r="AQ41" i="34"/>
  <c r="AT42" i="34"/>
  <c r="AU45" i="34"/>
  <c r="AG4" i="34"/>
  <c r="AG7" i="34"/>
  <c r="AF8" i="34"/>
  <c r="AE9" i="34"/>
  <c r="AG11" i="34"/>
  <c r="AF12" i="34"/>
  <c r="AE16" i="34"/>
  <c r="AG19" i="34"/>
  <c r="AF20" i="34"/>
  <c r="AC24" i="34"/>
  <c r="AG27" i="34"/>
  <c r="AE28" i="34"/>
  <c r="AC31" i="34"/>
  <c r="AG35" i="34"/>
  <c r="AE36" i="34"/>
  <c r="AC39" i="34"/>
  <c r="I44" i="39" l="1"/>
  <c r="H79" i="34"/>
  <c r="T22" i="35"/>
  <c r="AF9" i="39"/>
  <c r="AU10" i="34"/>
  <c r="AI10" i="39" s="1"/>
  <c r="AG8" i="34"/>
  <c r="AF9" i="34"/>
  <c r="AT7" i="34"/>
  <c r="AH7" i="39" s="1"/>
  <c r="AF5" i="39"/>
  <c r="AU6" i="34"/>
  <c r="AI6" i="39" s="1"/>
  <c r="AF5" i="34"/>
  <c r="AE38" i="34"/>
  <c r="AF38" i="34"/>
  <c r="AE34" i="34"/>
  <c r="AF34" i="34"/>
  <c r="AB34" i="34"/>
  <c r="AC34" i="34"/>
  <c r="AG34" i="34"/>
  <c r="AG22" i="34"/>
  <c r="AC22" i="34"/>
  <c r="AF22" i="34"/>
  <c r="AB22" i="34"/>
  <c r="AE22" i="34"/>
  <c r="AS44" i="34"/>
  <c r="AT44" i="34"/>
  <c r="AP44" i="34"/>
  <c r="AU44" i="34"/>
  <c r="AS32" i="34"/>
  <c r="AG32" i="39" s="1"/>
  <c r="AT32" i="34"/>
  <c r="AH32" i="39" s="1"/>
  <c r="AP32" i="34"/>
  <c r="AD32" i="39" s="1"/>
  <c r="AF32" i="39"/>
  <c r="AQ32" i="34"/>
  <c r="AE32" i="39" s="1"/>
  <c r="AT24" i="34"/>
  <c r="AH24" i="39" s="1"/>
  <c r="AP24" i="34"/>
  <c r="AD24" i="39" s="1"/>
  <c r="AQ24" i="34"/>
  <c r="AE24" i="39" s="1"/>
  <c r="AU24" i="34"/>
  <c r="AI24" i="39" s="1"/>
  <c r="AS24" i="34"/>
  <c r="AG24" i="39" s="1"/>
  <c r="AU16" i="34"/>
  <c r="AI16" i="39" s="1"/>
  <c r="AQ16" i="34"/>
  <c r="AE16" i="39" s="1"/>
  <c r="AF4" i="34"/>
  <c r="AS8" i="34"/>
  <c r="AG8" i="39" s="1"/>
  <c r="AE10" i="34"/>
  <c r="AT11" i="34"/>
  <c r="AH11" i="39" s="1"/>
  <c r="AC12" i="34"/>
  <c r="AG12" i="34"/>
  <c r="AS12" i="34"/>
  <c r="AG12" i="39" s="1"/>
  <c r="AB13" i="34"/>
  <c r="AG13" i="34"/>
  <c r="AQ13" i="34"/>
  <c r="AE13" i="39" s="1"/>
  <c r="AF14" i="34"/>
  <c r="AP14" i="34"/>
  <c r="AD14" i="39" s="1"/>
  <c r="AU14" i="34"/>
  <c r="AI14" i="39" s="1"/>
  <c r="AC16" i="34"/>
  <c r="AP16" i="34"/>
  <c r="AD16" i="39" s="1"/>
  <c r="AU17" i="34"/>
  <c r="AI17" i="39" s="1"/>
  <c r="AQ18" i="34"/>
  <c r="AE18" i="39" s="1"/>
  <c r="AP22" i="34"/>
  <c r="AD22" i="39" s="1"/>
  <c r="AE42" i="34"/>
  <c r="AF42" i="34"/>
  <c r="AB42" i="34"/>
  <c r="AC42" i="34"/>
  <c r="AG42" i="34"/>
  <c r="AE30" i="34"/>
  <c r="AF30" i="34"/>
  <c r="AB30" i="34"/>
  <c r="AG30" i="34"/>
  <c r="AC30" i="34"/>
  <c r="AG18" i="34"/>
  <c r="AC18" i="34"/>
  <c r="AF18" i="34"/>
  <c r="AB18" i="34"/>
  <c r="AS36" i="34"/>
  <c r="AT36" i="34"/>
  <c r="AP36" i="34"/>
  <c r="AU36" i="34"/>
  <c r="AU4" i="34"/>
  <c r="AI4" i="39" s="1"/>
  <c r="AF37" i="34"/>
  <c r="AB37" i="34"/>
  <c r="AG37" i="34"/>
  <c r="AC37" i="34"/>
  <c r="AE37" i="34"/>
  <c r="AT43" i="34"/>
  <c r="AP43" i="34"/>
  <c r="AU43" i="34"/>
  <c r="AQ43" i="34"/>
  <c r="AS43" i="34"/>
  <c r="AT39" i="34"/>
  <c r="AP39" i="34"/>
  <c r="AU39" i="34"/>
  <c r="AQ39" i="34"/>
  <c r="AS39" i="34"/>
  <c r="AT35" i="34"/>
  <c r="AH35" i="39" s="1"/>
  <c r="AP35" i="34"/>
  <c r="AD35" i="39" s="1"/>
  <c r="AU35" i="34"/>
  <c r="AI35" i="39" s="1"/>
  <c r="AQ35" i="34"/>
  <c r="AE35" i="39" s="1"/>
  <c r="AS35" i="34"/>
  <c r="AG35" i="39" s="1"/>
  <c r="AT31" i="34"/>
  <c r="AH31" i="39" s="1"/>
  <c r="AP31" i="34"/>
  <c r="AD31" i="39" s="1"/>
  <c r="AU31" i="34"/>
  <c r="AI31" i="39" s="1"/>
  <c r="AQ31" i="34"/>
  <c r="AE31" i="39" s="1"/>
  <c r="AS31" i="34"/>
  <c r="AG31" i="39" s="1"/>
  <c r="AF31" i="39"/>
  <c r="AT27" i="34"/>
  <c r="AH27" i="39" s="1"/>
  <c r="AP27" i="34"/>
  <c r="AD27" i="39" s="1"/>
  <c r="AU27" i="34"/>
  <c r="AI27" i="39" s="1"/>
  <c r="AQ27" i="34"/>
  <c r="AE27" i="39" s="1"/>
  <c r="AS27" i="34"/>
  <c r="AG27" i="39" s="1"/>
  <c r="AU23" i="34"/>
  <c r="AI23" i="39" s="1"/>
  <c r="AT23" i="34"/>
  <c r="AH23" i="39" s="1"/>
  <c r="AF19" i="39"/>
  <c r="AU19" i="34"/>
  <c r="AI19" i="39" s="1"/>
  <c r="AT4" i="34"/>
  <c r="AH4" i="39" s="1"/>
  <c r="AG5" i="34"/>
  <c r="AE7" i="34"/>
  <c r="AU7" i="34"/>
  <c r="AI7" i="39" s="1"/>
  <c r="AP8" i="34"/>
  <c r="AD8" i="39" s="1"/>
  <c r="AT8" i="34"/>
  <c r="AH8" i="39" s="1"/>
  <c r="AC9" i="34"/>
  <c r="AG9" i="34"/>
  <c r="AS9" i="34"/>
  <c r="AG9" i="39" s="1"/>
  <c r="AF10" i="34"/>
  <c r="AF10" i="39"/>
  <c r="AE11" i="34"/>
  <c r="AU11" i="34"/>
  <c r="AI11" i="39" s="1"/>
  <c r="AP12" i="34"/>
  <c r="AD12" i="39" s="1"/>
  <c r="AT12" i="34"/>
  <c r="AH12" i="39" s="1"/>
  <c r="AC13" i="34"/>
  <c r="AF13" i="39"/>
  <c r="AB14" i="34"/>
  <c r="AG15" i="34"/>
  <c r="AT15" i="34"/>
  <c r="AH15" i="39" s="1"/>
  <c r="AF16" i="39"/>
  <c r="AT18" i="34"/>
  <c r="AH18" i="39" s="1"/>
  <c r="AT5" i="34"/>
  <c r="AH5" i="39" s="1"/>
  <c r="AG6" i="34"/>
  <c r="AF7" i="34"/>
  <c r="AF7" i="39"/>
  <c r="AE8" i="34"/>
  <c r="AU8" i="34"/>
  <c r="AI8" i="39" s="1"/>
  <c r="AT9" i="34"/>
  <c r="AH9" i="39" s="1"/>
  <c r="AG10" i="34"/>
  <c r="AS10" i="34"/>
  <c r="AG10" i="39" s="1"/>
  <c r="AF11" i="34"/>
  <c r="AF11" i="39"/>
  <c r="AE12" i="34"/>
  <c r="AQ12" i="34"/>
  <c r="AE12" i="39" s="1"/>
  <c r="AU12" i="34"/>
  <c r="AI12" i="39" s="1"/>
  <c r="AE13" i="34"/>
  <c r="AF14" i="39"/>
  <c r="AP15" i="34"/>
  <c r="AD15" i="39" s="1"/>
  <c r="AU15" i="34"/>
  <c r="AI15" i="39" s="1"/>
  <c r="AF16" i="34"/>
  <c r="AS16" i="34"/>
  <c r="AG16" i="39" s="1"/>
  <c r="AQ44" i="34"/>
  <c r="AE26" i="34"/>
  <c r="AF26" i="34"/>
  <c r="AG14" i="34"/>
  <c r="AS40" i="34"/>
  <c r="AT40" i="34"/>
  <c r="AP40" i="34"/>
  <c r="AQ40" i="34"/>
  <c r="AS28" i="34"/>
  <c r="AG28" i="39" s="1"/>
  <c r="AT28" i="34"/>
  <c r="AH28" i="39" s="1"/>
  <c r="AP28" i="34"/>
  <c r="AD28" i="39" s="1"/>
  <c r="AU28" i="34"/>
  <c r="AI28" i="39" s="1"/>
  <c r="AF28" i="39"/>
  <c r="AU20" i="34"/>
  <c r="AI20" i="39" s="1"/>
  <c r="AQ20" i="34"/>
  <c r="AE20" i="39" s="1"/>
  <c r="AT20" i="34"/>
  <c r="AH20" i="39" s="1"/>
  <c r="AS20" i="34"/>
  <c r="AG20" i="39" s="1"/>
  <c r="AF45" i="34"/>
  <c r="AB45" i="34"/>
  <c r="AG45" i="34"/>
  <c r="AC45" i="34"/>
  <c r="AE45" i="34"/>
  <c r="AF41" i="34"/>
  <c r="AB41" i="34"/>
  <c r="AG41" i="34"/>
  <c r="AC41" i="34"/>
  <c r="AE41" i="34"/>
  <c r="AF33" i="34"/>
  <c r="AB33" i="34"/>
  <c r="AG33" i="34"/>
  <c r="AC33" i="34"/>
  <c r="AE33" i="34"/>
  <c r="AF29" i="34"/>
  <c r="AB29" i="34"/>
  <c r="AG29" i="34"/>
  <c r="AC29" i="34"/>
  <c r="AE29" i="34"/>
  <c r="AG25" i="34"/>
  <c r="AF25" i="34"/>
  <c r="AE25" i="34"/>
  <c r="AG21" i="34"/>
  <c r="AF21" i="34"/>
  <c r="AG17" i="34"/>
  <c r="AG44" i="34"/>
  <c r="AC44" i="34"/>
  <c r="AB44" i="34"/>
  <c r="AF44" i="34"/>
  <c r="AG40" i="34"/>
  <c r="AC40" i="34"/>
  <c r="AF40" i="34"/>
  <c r="AE40" i="34"/>
  <c r="AB40" i="34"/>
  <c r="AG36" i="34"/>
  <c r="AC36" i="34"/>
  <c r="AB36" i="34"/>
  <c r="AF36" i="34"/>
  <c r="AG32" i="34"/>
  <c r="AC32" i="34"/>
  <c r="AF32" i="34"/>
  <c r="AE32" i="34"/>
  <c r="AB32" i="34"/>
  <c r="AG28" i="34"/>
  <c r="AC28" i="34"/>
  <c r="AB28" i="34"/>
  <c r="AF28" i="34"/>
  <c r="AG24" i="34"/>
  <c r="AB24" i="34"/>
  <c r="AF24" i="34"/>
  <c r="AE24" i="34"/>
  <c r="AE20" i="34"/>
  <c r="AG20" i="34"/>
  <c r="AC20" i="34"/>
  <c r="AU42" i="34"/>
  <c r="AQ42" i="34"/>
  <c r="AS42" i="34"/>
  <c r="AP42" i="34"/>
  <c r="AT38" i="34"/>
  <c r="AS38" i="34"/>
  <c r="AU34" i="34"/>
  <c r="AI34" i="39" s="1"/>
  <c r="AQ34" i="34"/>
  <c r="AE34" i="39" s="1"/>
  <c r="AF34" i="39"/>
  <c r="AS34" i="34"/>
  <c r="AG34" i="39" s="1"/>
  <c r="AP34" i="34"/>
  <c r="AD34" i="39" s="1"/>
  <c r="AU30" i="34"/>
  <c r="AI30" i="39" s="1"/>
  <c r="AQ30" i="34"/>
  <c r="AE30" i="39" s="1"/>
  <c r="AF30" i="39"/>
  <c r="AT30" i="34"/>
  <c r="AH30" i="39" s="1"/>
  <c r="AS30" i="34"/>
  <c r="AG30" i="39" s="1"/>
  <c r="AF26" i="39"/>
  <c r="AS26" i="34"/>
  <c r="AG26" i="39" s="1"/>
  <c r="AS22" i="34"/>
  <c r="AG22" i="39" s="1"/>
  <c r="AF22" i="39"/>
  <c r="AU22" i="34"/>
  <c r="AI22" i="39" s="1"/>
  <c r="AQ22" i="34"/>
  <c r="AE22" i="39" s="1"/>
  <c r="AS18" i="34"/>
  <c r="AG18" i="39" s="1"/>
  <c r="AF18" i="39"/>
  <c r="AE43" i="34"/>
  <c r="AF43" i="34"/>
  <c r="AC43" i="34"/>
  <c r="AB43" i="34"/>
  <c r="AE39" i="34"/>
  <c r="AB39" i="34"/>
  <c r="AG39" i="34"/>
  <c r="AF39" i="34"/>
  <c r="AE35" i="34"/>
  <c r="AF35" i="34"/>
  <c r="AC35" i="34"/>
  <c r="AB35" i="34"/>
  <c r="AE31" i="34"/>
  <c r="AB31" i="34"/>
  <c r="AG31" i="34"/>
  <c r="AF31" i="34"/>
  <c r="AE27" i="34"/>
  <c r="AF27" i="34"/>
  <c r="AC27" i="34"/>
  <c r="AB27" i="34"/>
  <c r="AF23" i="34"/>
  <c r="AF19" i="34"/>
  <c r="AE19" i="34"/>
  <c r="AF15" i="34"/>
  <c r="AB15" i="34"/>
  <c r="AS45" i="34"/>
  <c r="AT45" i="34"/>
  <c r="AQ45" i="34"/>
  <c r="AP45" i="34"/>
  <c r="AS41" i="34"/>
  <c r="AP41" i="34"/>
  <c r="AU41" i="34"/>
  <c r="AT41" i="34"/>
  <c r="AS37" i="34"/>
  <c r="AT37" i="34"/>
  <c r="AQ37" i="34"/>
  <c r="AP37" i="34"/>
  <c r="AF33" i="39"/>
  <c r="AS33" i="34"/>
  <c r="AG33" i="39" s="1"/>
  <c r="AP33" i="34"/>
  <c r="AD33" i="39" s="1"/>
  <c r="AU33" i="34"/>
  <c r="AI33" i="39" s="1"/>
  <c r="AT33" i="34"/>
  <c r="AH33" i="39" s="1"/>
  <c r="AF29" i="39"/>
  <c r="AS29" i="34"/>
  <c r="AG29" i="39" s="1"/>
  <c r="AT29" i="34"/>
  <c r="AH29" i="39" s="1"/>
  <c r="AQ29" i="34"/>
  <c r="AE29" i="39" s="1"/>
  <c r="AP29" i="34"/>
  <c r="AD29" i="39" s="1"/>
  <c r="AF25" i="39"/>
  <c r="AS25" i="34"/>
  <c r="AG25" i="39" s="1"/>
  <c r="AU25" i="34"/>
  <c r="AI25" i="39" s="1"/>
  <c r="AT25" i="34"/>
  <c r="AH25" i="39" s="1"/>
  <c r="AT21" i="34"/>
  <c r="AH21" i="39" s="1"/>
  <c r="AF21" i="39"/>
  <c r="AT17" i="34"/>
  <c r="AH17" i="39" s="1"/>
  <c r="AT13" i="34"/>
  <c r="AH13" i="39" s="1"/>
  <c r="AP13" i="34"/>
  <c r="AD13" i="39" s="1"/>
  <c r="AB8" i="34"/>
  <c r="AQ9" i="34"/>
  <c r="AE9" i="39" s="1"/>
  <c r="AB12" i="34"/>
  <c r="AF13" i="34"/>
  <c r="AU13" i="34"/>
  <c r="AI13" i="39" s="1"/>
  <c r="AE14" i="34"/>
  <c r="AT14" i="34"/>
  <c r="AH14" i="39" s="1"/>
  <c r="AB16" i="34"/>
  <c r="AG16" i="34"/>
  <c r="AT16" i="34"/>
  <c r="AH16" i="39" s="1"/>
  <c r="AF17" i="34"/>
  <c r="AF17" i="39"/>
  <c r="AE18" i="34"/>
  <c r="AP18" i="34"/>
  <c r="AD18" i="39" s="1"/>
  <c r="AS19" i="34"/>
  <c r="AG19" i="39" s="1"/>
  <c r="AU21" i="34"/>
  <c r="AI21" i="39" s="1"/>
  <c r="AG23" i="34"/>
  <c r="AF24" i="39"/>
  <c r="AU32" i="34"/>
  <c r="AI32" i="39" s="1"/>
  <c r="AQ33" i="34"/>
  <c r="AE33" i="39" s="1"/>
  <c r="AT34" i="34"/>
  <c r="AH34" i="39" s="1"/>
  <c r="AF35" i="39"/>
  <c r="AQ36" i="34"/>
  <c r="AU37" i="34"/>
  <c r="AG43" i="34"/>
  <c r="AE44" i="34"/>
  <c r="AQ79" i="38" l="1"/>
  <c r="AP79" i="38"/>
  <c r="AO79" i="38"/>
  <c r="AM79" i="38"/>
  <c r="I79" i="38"/>
  <c r="AI79" i="38" s="1"/>
  <c r="H79" i="38"/>
  <c r="G79" i="38"/>
  <c r="AG79" i="38" s="1"/>
  <c r="F79" i="38"/>
  <c r="AF79" i="38" s="1"/>
  <c r="E79" i="38"/>
  <c r="AE79" i="38" s="1"/>
  <c r="D79" i="38"/>
  <c r="C79" i="38"/>
  <c r="AC79" i="38" s="1"/>
  <c r="AQ75" i="38"/>
  <c r="AP75" i="38"/>
  <c r="AO75" i="38"/>
  <c r="AM75" i="38"/>
  <c r="I75" i="38"/>
  <c r="AI75" i="38" s="1"/>
  <c r="H75" i="38"/>
  <c r="G75" i="38"/>
  <c r="AG75" i="38" s="1"/>
  <c r="F75" i="38"/>
  <c r="AF75" i="38" s="1"/>
  <c r="E75" i="38"/>
  <c r="AE75" i="38" s="1"/>
  <c r="D75" i="38"/>
  <c r="C75" i="38"/>
  <c r="AC75" i="38" s="1"/>
  <c r="AQ67" i="38"/>
  <c r="AP67" i="38"/>
  <c r="AO67" i="38"/>
  <c r="AM67" i="38"/>
  <c r="I67" i="38"/>
  <c r="AI67" i="38" s="1"/>
  <c r="H67" i="38"/>
  <c r="G67" i="38"/>
  <c r="AG67" i="38" s="1"/>
  <c r="F67" i="38"/>
  <c r="AF67" i="38" s="1"/>
  <c r="E67" i="38"/>
  <c r="AE67" i="38" s="1"/>
  <c r="D67" i="38"/>
  <c r="C67" i="38"/>
  <c r="AC67" i="38" s="1"/>
  <c r="AQ60" i="38"/>
  <c r="AP60" i="38"/>
  <c r="AO60" i="38"/>
  <c r="AM60" i="38"/>
  <c r="I60" i="38"/>
  <c r="AI60" i="38" s="1"/>
  <c r="H60" i="38"/>
  <c r="G60" i="38"/>
  <c r="AG60" i="38" s="1"/>
  <c r="F60" i="38"/>
  <c r="AF60" i="38" s="1"/>
  <c r="E60" i="38"/>
  <c r="AE60" i="38" s="1"/>
  <c r="D60" i="38"/>
  <c r="C60" i="38"/>
  <c r="AC60" i="38" s="1"/>
  <c r="AQ56" i="38"/>
  <c r="AP56" i="38"/>
  <c r="AO56" i="38"/>
  <c r="AM56" i="38"/>
  <c r="I56" i="38"/>
  <c r="AI56" i="38" s="1"/>
  <c r="H56" i="38"/>
  <c r="G56" i="38"/>
  <c r="AG56" i="38" s="1"/>
  <c r="F56" i="38"/>
  <c r="AF56" i="38" s="1"/>
  <c r="E56" i="38"/>
  <c r="AE56" i="38" s="1"/>
  <c r="D56" i="38"/>
  <c r="C56" i="38"/>
  <c r="AC56" i="38" s="1"/>
  <c r="AQ42" i="38"/>
  <c r="AP42" i="38"/>
  <c r="AO42" i="38"/>
  <c r="AM42" i="38"/>
  <c r="I42" i="38"/>
  <c r="AI42" i="38" s="1"/>
  <c r="H42" i="38"/>
  <c r="G42" i="38"/>
  <c r="AG42" i="38" s="1"/>
  <c r="F42" i="38"/>
  <c r="AF42" i="38" s="1"/>
  <c r="E42" i="38"/>
  <c r="AE42" i="38" s="1"/>
  <c r="D42" i="38"/>
  <c r="C42" i="38"/>
  <c r="AC42" i="38" s="1"/>
  <c r="AQ41" i="38"/>
  <c r="AP41" i="38"/>
  <c r="AO41" i="38"/>
  <c r="AM41" i="38"/>
  <c r="I41" i="38"/>
  <c r="H41" i="38"/>
  <c r="G41" i="38"/>
  <c r="AG41" i="38" s="1"/>
  <c r="F41" i="38"/>
  <c r="AF41" i="38" s="1"/>
  <c r="E41" i="38"/>
  <c r="D41" i="38"/>
  <c r="AD41" i="38" s="1"/>
  <c r="C41" i="38"/>
  <c r="AC41" i="38" s="1"/>
  <c r="AQ32" i="38"/>
  <c r="AP32" i="38"/>
  <c r="AO32" i="38"/>
  <c r="AM32" i="38"/>
  <c r="I32" i="38"/>
  <c r="AI32" i="38" s="1"/>
  <c r="H32" i="38"/>
  <c r="G32" i="38"/>
  <c r="AG32" i="38" s="1"/>
  <c r="F32" i="38"/>
  <c r="AF32" i="38" s="1"/>
  <c r="E32" i="38"/>
  <c r="AE32" i="38" s="1"/>
  <c r="D32" i="38"/>
  <c r="C32" i="38"/>
  <c r="AC32" i="38" s="1"/>
  <c r="AQ31" i="38"/>
  <c r="AP31" i="38"/>
  <c r="AO31" i="38"/>
  <c r="AM31" i="38"/>
  <c r="I31" i="38"/>
  <c r="AI31" i="38" s="1"/>
  <c r="H31" i="38"/>
  <c r="G31" i="38"/>
  <c r="AG31" i="38" s="1"/>
  <c r="F31" i="38"/>
  <c r="AF31" i="38" s="1"/>
  <c r="E31" i="38"/>
  <c r="AE31" i="38" s="1"/>
  <c r="D31" i="38"/>
  <c r="C31" i="38"/>
  <c r="AC31" i="38" s="1"/>
  <c r="AQ24" i="38"/>
  <c r="AP24" i="38"/>
  <c r="AO24" i="38"/>
  <c r="AM24" i="38"/>
  <c r="I24" i="38"/>
  <c r="AI24" i="38" s="1"/>
  <c r="H24" i="38"/>
  <c r="G24" i="38"/>
  <c r="AG24" i="38" s="1"/>
  <c r="F24" i="38"/>
  <c r="AF24" i="38" s="1"/>
  <c r="E24" i="38"/>
  <c r="AE24" i="38" s="1"/>
  <c r="D24" i="38"/>
  <c r="C24" i="38"/>
  <c r="AC24" i="38" s="1"/>
  <c r="AQ22" i="38"/>
  <c r="AP22" i="38"/>
  <c r="AO22" i="38"/>
  <c r="AM22" i="38"/>
  <c r="I22" i="38"/>
  <c r="AI22" i="38" s="1"/>
  <c r="H22" i="38"/>
  <c r="G22" i="38"/>
  <c r="AG22" i="38" s="1"/>
  <c r="F22" i="38"/>
  <c r="AF22" i="38" s="1"/>
  <c r="E22" i="38"/>
  <c r="AE22" i="38" s="1"/>
  <c r="D22" i="38"/>
  <c r="C22" i="38"/>
  <c r="AC22" i="38" s="1"/>
  <c r="AQ20" i="38"/>
  <c r="AP20" i="38"/>
  <c r="AO20" i="38"/>
  <c r="AM20" i="38"/>
  <c r="I20" i="38"/>
  <c r="AI20" i="38" s="1"/>
  <c r="H20" i="38"/>
  <c r="G20" i="38"/>
  <c r="AG20" i="38" s="1"/>
  <c r="F20" i="38"/>
  <c r="AF20" i="38" s="1"/>
  <c r="E20" i="38"/>
  <c r="AE20" i="38" s="1"/>
  <c r="D20" i="38"/>
  <c r="C20" i="38"/>
  <c r="AC20" i="38" s="1"/>
  <c r="AD79" i="38" l="1"/>
  <c r="AH79" i="38"/>
  <c r="AN79" i="38"/>
  <c r="Q79" i="38"/>
  <c r="AD75" i="38"/>
  <c r="AH75" i="38"/>
  <c r="Q75" i="38"/>
  <c r="AN75" i="38"/>
  <c r="AH67" i="38"/>
  <c r="AN67" i="38"/>
  <c r="Q67" i="38"/>
  <c r="AD67" i="38"/>
  <c r="AD60" i="38"/>
  <c r="Q60" i="38"/>
  <c r="AH60" i="38"/>
  <c r="AN60" i="38"/>
  <c r="AN56" i="38"/>
  <c r="Q56" i="38"/>
  <c r="AD56" i="38"/>
  <c r="AH56" i="38"/>
  <c r="Q31" i="38"/>
  <c r="AJ31" i="38" s="1"/>
  <c r="Q41" i="38"/>
  <c r="AJ41" i="38" s="1"/>
  <c r="AN41" i="38"/>
  <c r="AE41" i="38"/>
  <c r="AI41" i="38"/>
  <c r="AD42" i="38"/>
  <c r="AH42" i="38"/>
  <c r="AN42" i="38"/>
  <c r="Q42" i="38"/>
  <c r="AH41" i="38"/>
  <c r="Q32" i="38"/>
  <c r="AJ32" i="38" s="1"/>
  <c r="AD32" i="38"/>
  <c r="AH32" i="38"/>
  <c r="AN32" i="38"/>
  <c r="AD31" i="38"/>
  <c r="AN31" i="38"/>
  <c r="AH31" i="38"/>
  <c r="AD24" i="38"/>
  <c r="AH24" i="38"/>
  <c r="AN24" i="38"/>
  <c r="Q24" i="38"/>
  <c r="AD22" i="38"/>
  <c r="AH22" i="38"/>
  <c r="Q22" i="38"/>
  <c r="AN22" i="38"/>
  <c r="AD20" i="38"/>
  <c r="AH20" i="38"/>
  <c r="Q20" i="38"/>
  <c r="AN20" i="38"/>
  <c r="J46" i="34"/>
  <c r="I46" i="34"/>
  <c r="H46" i="34"/>
  <c r="L46" i="34"/>
  <c r="K75" i="38" l="1"/>
  <c r="P79" i="38"/>
  <c r="L79" i="38"/>
  <c r="K79" i="38"/>
  <c r="N79" i="38"/>
  <c r="AR79" i="38"/>
  <c r="AT79" i="38"/>
  <c r="J79" i="38"/>
  <c r="O79" i="38"/>
  <c r="M79" i="38"/>
  <c r="AS79" i="38"/>
  <c r="AU79" i="38"/>
  <c r="AJ79" i="38"/>
  <c r="R79" i="38"/>
  <c r="N75" i="38"/>
  <c r="M75" i="38"/>
  <c r="O75" i="38"/>
  <c r="J75" i="38"/>
  <c r="AT75" i="38"/>
  <c r="AR75" i="38"/>
  <c r="O67" i="38"/>
  <c r="P75" i="38"/>
  <c r="L75" i="38"/>
  <c r="AU75" i="38"/>
  <c r="AS75" i="38"/>
  <c r="AJ75" i="38"/>
  <c r="R75" i="38"/>
  <c r="M67" i="38"/>
  <c r="AT67" i="38"/>
  <c r="N67" i="38"/>
  <c r="AR67" i="38"/>
  <c r="AS67" i="38"/>
  <c r="J67" i="38"/>
  <c r="AS60" i="38"/>
  <c r="P67" i="38"/>
  <c r="L67" i="38"/>
  <c r="AU67" i="38"/>
  <c r="K67" i="38"/>
  <c r="AJ67" i="38"/>
  <c r="R67" i="38"/>
  <c r="N60" i="38"/>
  <c r="O60" i="38"/>
  <c r="J60" i="38"/>
  <c r="M60" i="38"/>
  <c r="AT60" i="38"/>
  <c r="AR60" i="38"/>
  <c r="AS56" i="38"/>
  <c r="P60" i="38"/>
  <c r="L60" i="38"/>
  <c r="AU60" i="38"/>
  <c r="K60" i="38"/>
  <c r="AJ60" i="38"/>
  <c r="R60" i="38"/>
  <c r="N56" i="38"/>
  <c r="K56" i="38"/>
  <c r="J56" i="38"/>
  <c r="M56" i="38"/>
  <c r="AT56" i="38"/>
  <c r="AR56" i="38"/>
  <c r="AS41" i="38"/>
  <c r="P56" i="38"/>
  <c r="L56" i="38"/>
  <c r="AU56" i="38"/>
  <c r="O56" i="38"/>
  <c r="AJ56" i="38"/>
  <c r="R56" i="38"/>
  <c r="N42" i="38"/>
  <c r="J41" i="38"/>
  <c r="AT42" i="38"/>
  <c r="K42" i="38"/>
  <c r="M41" i="38"/>
  <c r="J42" i="38"/>
  <c r="M42" i="38"/>
  <c r="AR42" i="38"/>
  <c r="AU41" i="38"/>
  <c r="P41" i="38"/>
  <c r="O42" i="38"/>
  <c r="O41" i="38"/>
  <c r="R41" i="38"/>
  <c r="AU42" i="38"/>
  <c r="AS42" i="38"/>
  <c r="K32" i="38"/>
  <c r="P42" i="38"/>
  <c r="L42" i="38"/>
  <c r="K41" i="38"/>
  <c r="N41" i="38"/>
  <c r="AR41" i="38"/>
  <c r="AT41" i="38"/>
  <c r="L41" i="38"/>
  <c r="AJ42" i="38"/>
  <c r="R42" i="38"/>
  <c r="N32" i="38"/>
  <c r="AS32" i="38"/>
  <c r="J32" i="38"/>
  <c r="AU32" i="38"/>
  <c r="AT32" i="38"/>
  <c r="AR32" i="38"/>
  <c r="P32" i="38"/>
  <c r="L32" i="38"/>
  <c r="R32" i="38"/>
  <c r="O32" i="38"/>
  <c r="M32" i="38"/>
  <c r="M31" i="38"/>
  <c r="L31" i="38"/>
  <c r="P31" i="38"/>
  <c r="AU31" i="38"/>
  <c r="AR31" i="38"/>
  <c r="AT31" i="38"/>
  <c r="R31" i="38"/>
  <c r="O31" i="38"/>
  <c r="J31" i="38"/>
  <c r="N31" i="38"/>
  <c r="AS31" i="38"/>
  <c r="K31" i="38"/>
  <c r="AS22" i="38"/>
  <c r="P24" i="38"/>
  <c r="L24" i="38"/>
  <c r="M24" i="38"/>
  <c r="O24" i="38"/>
  <c r="K24" i="38"/>
  <c r="J24" i="38"/>
  <c r="AT24" i="38"/>
  <c r="AR24" i="38"/>
  <c r="N24" i="38"/>
  <c r="AU24" i="38"/>
  <c r="AS24" i="38"/>
  <c r="AJ24" i="38"/>
  <c r="R24" i="38"/>
  <c r="N22" i="38"/>
  <c r="M22" i="38"/>
  <c r="O22" i="38"/>
  <c r="J22" i="38"/>
  <c r="AT22" i="38"/>
  <c r="AR22" i="38"/>
  <c r="AS20" i="38"/>
  <c r="P22" i="38"/>
  <c r="L22" i="38"/>
  <c r="AU22" i="38"/>
  <c r="K22" i="38"/>
  <c r="AJ22" i="38"/>
  <c r="R22" i="38"/>
  <c r="N20" i="38"/>
  <c r="M20" i="38"/>
  <c r="O20" i="38"/>
  <c r="J20" i="38"/>
  <c r="AT20" i="38"/>
  <c r="AR20" i="38"/>
  <c r="P20" i="38"/>
  <c r="L20" i="38"/>
  <c r="AU20" i="38"/>
  <c r="K20" i="38"/>
  <c r="AJ20" i="38"/>
  <c r="R20" i="38"/>
  <c r="AQ115" i="38"/>
  <c r="AQ114" i="38"/>
  <c r="AQ113" i="38"/>
  <c r="AQ112" i="38"/>
  <c r="AQ111" i="38"/>
  <c r="AQ110" i="38"/>
  <c r="AQ109" i="38"/>
  <c r="AQ108" i="38"/>
  <c r="AQ107" i="38"/>
  <c r="AQ106" i="38"/>
  <c r="AQ105" i="38"/>
  <c r="AQ104" i="38"/>
  <c r="AQ103" i="38"/>
  <c r="AQ102" i="38"/>
  <c r="AQ101" i="38"/>
  <c r="AQ100" i="38"/>
  <c r="AQ99" i="38"/>
  <c r="AQ98" i="38"/>
  <c r="AQ97" i="38"/>
  <c r="AQ96" i="38"/>
  <c r="AQ95" i="38"/>
  <c r="AQ94" i="38"/>
  <c r="AQ93" i="38"/>
  <c r="AQ92" i="38"/>
  <c r="AQ91" i="38"/>
  <c r="AQ90" i="38"/>
  <c r="AQ89" i="38"/>
  <c r="AQ88" i="38"/>
  <c r="AQ87" i="38"/>
  <c r="AQ86" i="38"/>
  <c r="AQ85" i="38"/>
  <c r="AQ84" i="38"/>
  <c r="AQ83" i="38"/>
  <c r="AQ82" i="38"/>
  <c r="AQ81" i="38"/>
  <c r="AQ80" i="38"/>
  <c r="AQ78" i="38"/>
  <c r="AQ77" i="38"/>
  <c r="AQ76" i="38"/>
  <c r="AQ74" i="38"/>
  <c r="AQ73" i="38"/>
  <c r="AQ72" i="38"/>
  <c r="AQ71" i="38"/>
  <c r="AQ70" i="38"/>
  <c r="AQ69" i="38"/>
  <c r="AQ68" i="38"/>
  <c r="AQ66" i="38"/>
  <c r="AQ65" i="38"/>
  <c r="AQ64" i="38"/>
  <c r="AQ63" i="38"/>
  <c r="AQ62" i="38"/>
  <c r="AQ61" i="38"/>
  <c r="AQ59" i="38"/>
  <c r="AQ58" i="38"/>
  <c r="AQ57" i="38"/>
  <c r="AQ55" i="38"/>
  <c r="AQ54" i="38"/>
  <c r="AQ53" i="38"/>
  <c r="AQ52" i="38"/>
  <c r="AQ51" i="38"/>
  <c r="AQ50" i="38"/>
  <c r="AQ49" i="38"/>
  <c r="AQ48" i="38"/>
  <c r="AQ47" i="38"/>
  <c r="AQ46" i="38"/>
  <c r="AQ45" i="38"/>
  <c r="AQ44" i="38"/>
  <c r="AQ43" i="38"/>
  <c r="AQ40" i="38"/>
  <c r="AQ39" i="38"/>
  <c r="AQ38" i="38"/>
  <c r="AQ37" i="38"/>
  <c r="AQ36" i="38"/>
  <c r="AQ35" i="38"/>
  <c r="AQ34" i="38"/>
  <c r="AQ33" i="38"/>
  <c r="AQ30" i="38"/>
  <c r="AQ29" i="38"/>
  <c r="AQ28" i="38"/>
  <c r="AQ27" i="38"/>
  <c r="AQ26" i="38"/>
  <c r="AQ25" i="38"/>
  <c r="AQ23" i="38"/>
  <c r="AQ21" i="38"/>
  <c r="AQ19" i="38"/>
  <c r="AQ18" i="38"/>
  <c r="AQ17" i="38"/>
  <c r="AQ16" i="38"/>
  <c r="AP115" i="38"/>
  <c r="AO115" i="38"/>
  <c r="AP114" i="38"/>
  <c r="AO114" i="38"/>
  <c r="AP113" i="38"/>
  <c r="AO113" i="38"/>
  <c r="AP112" i="38"/>
  <c r="AO112" i="38"/>
  <c r="AP111" i="38"/>
  <c r="AO111" i="38"/>
  <c r="AP110" i="38"/>
  <c r="AO110" i="38"/>
  <c r="AP109" i="38"/>
  <c r="AO109" i="38"/>
  <c r="AP108" i="38"/>
  <c r="AO108" i="38"/>
  <c r="AP107" i="38"/>
  <c r="AO107" i="38"/>
  <c r="AP106" i="38"/>
  <c r="AO106" i="38"/>
  <c r="AP105" i="38"/>
  <c r="AO105" i="38"/>
  <c r="AP104" i="38"/>
  <c r="AO104" i="38"/>
  <c r="AP103" i="38"/>
  <c r="AO103" i="38"/>
  <c r="AP102" i="38"/>
  <c r="AO102" i="38"/>
  <c r="AP101" i="38"/>
  <c r="AO101" i="38"/>
  <c r="AP100" i="38"/>
  <c r="AO100" i="38"/>
  <c r="AP99" i="38"/>
  <c r="AO99" i="38"/>
  <c r="AP98" i="38"/>
  <c r="AO98" i="38"/>
  <c r="AP97" i="38"/>
  <c r="AO97" i="38"/>
  <c r="AP96" i="38"/>
  <c r="AO96" i="38"/>
  <c r="AP95" i="38"/>
  <c r="AO95" i="38"/>
  <c r="AP94" i="38"/>
  <c r="AO94" i="38"/>
  <c r="AP93" i="38"/>
  <c r="AO93" i="38"/>
  <c r="AP92" i="38"/>
  <c r="AO92" i="38"/>
  <c r="AP91" i="38"/>
  <c r="AO91" i="38"/>
  <c r="AP90" i="38"/>
  <c r="AO90" i="38"/>
  <c r="AP89" i="38"/>
  <c r="AO89" i="38"/>
  <c r="AP88" i="38"/>
  <c r="AO88" i="38"/>
  <c r="AP87" i="38"/>
  <c r="AO87" i="38"/>
  <c r="AP86" i="38"/>
  <c r="AO86" i="38"/>
  <c r="AP85" i="38"/>
  <c r="AO85" i="38"/>
  <c r="AP84" i="38"/>
  <c r="AO84" i="38"/>
  <c r="AP83" i="38"/>
  <c r="AO83" i="38"/>
  <c r="AP82" i="38"/>
  <c r="AO82" i="38"/>
  <c r="AP81" i="38"/>
  <c r="AO81" i="38"/>
  <c r="AP80" i="38"/>
  <c r="AO80" i="38"/>
  <c r="AP78" i="38"/>
  <c r="AO78" i="38"/>
  <c r="AP77" i="38"/>
  <c r="AO77" i="38"/>
  <c r="AP76" i="38"/>
  <c r="AO76" i="38"/>
  <c r="AP74" i="38"/>
  <c r="AO74" i="38"/>
  <c r="AP73" i="38"/>
  <c r="AO73" i="38"/>
  <c r="AP72" i="38"/>
  <c r="AO72" i="38"/>
  <c r="AP71" i="38"/>
  <c r="AO71" i="38"/>
  <c r="AP70" i="38"/>
  <c r="AO70" i="38"/>
  <c r="AP69" i="38"/>
  <c r="AO69" i="38"/>
  <c r="AP68" i="38"/>
  <c r="AO68" i="38"/>
  <c r="AP66" i="38"/>
  <c r="AO66" i="38"/>
  <c r="AP65" i="38"/>
  <c r="AO65" i="38"/>
  <c r="AP64" i="38"/>
  <c r="AO64" i="38"/>
  <c r="AP63" i="38"/>
  <c r="AO63" i="38"/>
  <c r="AP62" i="38"/>
  <c r="AO62" i="38"/>
  <c r="AP61" i="38"/>
  <c r="AO61" i="38"/>
  <c r="AP59" i="38"/>
  <c r="AO59" i="38"/>
  <c r="AP58" i="38"/>
  <c r="AO58" i="38"/>
  <c r="AP57" i="38"/>
  <c r="AO57" i="38"/>
  <c r="AP55" i="38"/>
  <c r="AO55" i="38"/>
  <c r="AP54" i="38"/>
  <c r="AO54" i="38"/>
  <c r="AP53" i="38"/>
  <c r="AO53" i="38"/>
  <c r="AP52" i="38"/>
  <c r="AO52" i="38"/>
  <c r="AP51" i="38"/>
  <c r="AO51" i="38"/>
  <c r="AP50" i="38"/>
  <c r="AO50" i="38"/>
  <c r="AP49" i="38"/>
  <c r="AO49" i="38"/>
  <c r="AP48" i="38"/>
  <c r="AO48" i="38"/>
  <c r="AP47" i="38"/>
  <c r="AO47" i="38"/>
  <c r="AP46" i="38"/>
  <c r="AO46" i="38"/>
  <c r="AP45" i="38"/>
  <c r="AO45" i="38"/>
  <c r="AP44" i="38"/>
  <c r="AO44" i="38"/>
  <c r="AP43" i="38"/>
  <c r="AO43" i="38"/>
  <c r="AP40" i="38"/>
  <c r="AO40" i="38"/>
  <c r="AP39" i="38"/>
  <c r="AO39" i="38"/>
  <c r="AP38" i="38"/>
  <c r="AO38" i="38"/>
  <c r="AP37" i="38"/>
  <c r="AO37" i="38"/>
  <c r="AP36" i="38"/>
  <c r="AO36" i="38"/>
  <c r="AP35" i="38"/>
  <c r="AO35" i="38"/>
  <c r="AP34" i="38"/>
  <c r="AO34" i="38"/>
  <c r="AP33" i="38"/>
  <c r="AO33" i="38"/>
  <c r="AP30" i="38"/>
  <c r="AO30" i="38"/>
  <c r="AP29" i="38"/>
  <c r="AO29" i="38"/>
  <c r="AP28" i="38"/>
  <c r="AO28" i="38"/>
  <c r="AP27" i="38"/>
  <c r="AO27" i="38"/>
  <c r="AP26" i="38"/>
  <c r="AO26" i="38"/>
  <c r="AP25" i="38"/>
  <c r="AO25" i="38"/>
  <c r="AP23" i="38"/>
  <c r="AO23" i="38"/>
  <c r="AP21" i="38"/>
  <c r="AO21" i="38"/>
  <c r="AP19" i="38"/>
  <c r="AO19" i="38"/>
  <c r="AP18" i="38"/>
  <c r="AO18" i="38"/>
  <c r="AP17" i="38"/>
  <c r="AO17" i="38"/>
  <c r="AP16" i="38"/>
  <c r="AO16" i="38"/>
  <c r="I115" i="38"/>
  <c r="I114" i="38"/>
  <c r="I113" i="38"/>
  <c r="I112" i="38"/>
  <c r="I111" i="38"/>
  <c r="I110" i="38"/>
  <c r="I109" i="38"/>
  <c r="I108" i="38"/>
  <c r="I107" i="38"/>
  <c r="I106" i="38"/>
  <c r="I105" i="38"/>
  <c r="I104" i="38"/>
  <c r="I103" i="38"/>
  <c r="I102" i="38"/>
  <c r="I101" i="38"/>
  <c r="I100" i="38"/>
  <c r="I99" i="38"/>
  <c r="I98" i="38"/>
  <c r="I97" i="38"/>
  <c r="I96" i="38"/>
  <c r="I95" i="38"/>
  <c r="I94" i="38"/>
  <c r="I93" i="38"/>
  <c r="I92" i="38"/>
  <c r="I91" i="38"/>
  <c r="I90" i="38"/>
  <c r="I89" i="38"/>
  <c r="I88" i="38"/>
  <c r="I87" i="38"/>
  <c r="I86" i="38"/>
  <c r="I85" i="38"/>
  <c r="I84" i="38"/>
  <c r="I83" i="38"/>
  <c r="I82" i="38"/>
  <c r="I81" i="38"/>
  <c r="I80" i="38"/>
  <c r="I78" i="38"/>
  <c r="I77" i="38"/>
  <c r="I76" i="38"/>
  <c r="I74" i="38"/>
  <c r="I73" i="38"/>
  <c r="I72" i="38"/>
  <c r="I71" i="38"/>
  <c r="I70" i="38"/>
  <c r="I69" i="38"/>
  <c r="I68" i="38"/>
  <c r="I66" i="38"/>
  <c r="I65" i="38"/>
  <c r="I64" i="38"/>
  <c r="I63" i="38"/>
  <c r="I62" i="38"/>
  <c r="I61" i="38"/>
  <c r="I59" i="38"/>
  <c r="I58" i="38"/>
  <c r="I57" i="38"/>
  <c r="I55" i="38"/>
  <c r="I54" i="38"/>
  <c r="I53" i="38"/>
  <c r="I52" i="38"/>
  <c r="I51" i="38"/>
  <c r="I50" i="38"/>
  <c r="I49" i="38"/>
  <c r="I48" i="38"/>
  <c r="I47" i="38"/>
  <c r="I46" i="38"/>
  <c r="I45" i="38"/>
  <c r="I44" i="38"/>
  <c r="I43" i="38"/>
  <c r="I40" i="38"/>
  <c r="I39" i="38"/>
  <c r="I38" i="38"/>
  <c r="I37" i="38"/>
  <c r="I36" i="38"/>
  <c r="I35" i="38"/>
  <c r="I34" i="38"/>
  <c r="I33" i="38"/>
  <c r="I30" i="38"/>
  <c r="I29" i="38"/>
  <c r="I28" i="38"/>
  <c r="I27" i="38"/>
  <c r="I26" i="38"/>
  <c r="I25" i="38"/>
  <c r="I23" i="38"/>
  <c r="I21" i="38"/>
  <c r="I19" i="38"/>
  <c r="I18" i="38"/>
  <c r="I17" i="38"/>
  <c r="I16" i="38"/>
  <c r="H115" i="38"/>
  <c r="G115" i="38"/>
  <c r="F115" i="38"/>
  <c r="E115" i="38"/>
  <c r="H114" i="38"/>
  <c r="G114" i="38"/>
  <c r="F114" i="38"/>
  <c r="E114" i="38"/>
  <c r="H113" i="38"/>
  <c r="G113" i="38"/>
  <c r="F113" i="38"/>
  <c r="E113" i="38"/>
  <c r="H112" i="38"/>
  <c r="G112" i="38"/>
  <c r="F112" i="38"/>
  <c r="E112" i="38"/>
  <c r="H111" i="38"/>
  <c r="G111" i="38"/>
  <c r="F111" i="38"/>
  <c r="E111" i="38"/>
  <c r="H110" i="38"/>
  <c r="G110" i="38"/>
  <c r="F110" i="38"/>
  <c r="E110" i="38"/>
  <c r="H109" i="38"/>
  <c r="G109" i="38"/>
  <c r="F109" i="38"/>
  <c r="E109" i="38"/>
  <c r="H108" i="38"/>
  <c r="G108" i="38"/>
  <c r="F108" i="38"/>
  <c r="E108" i="38"/>
  <c r="H107" i="38"/>
  <c r="G107" i="38"/>
  <c r="F107" i="38"/>
  <c r="E107" i="38"/>
  <c r="H106" i="38"/>
  <c r="G106" i="38"/>
  <c r="F106" i="38"/>
  <c r="E106" i="38"/>
  <c r="H105" i="38"/>
  <c r="G105" i="38"/>
  <c r="F105" i="38"/>
  <c r="E105" i="38"/>
  <c r="H104" i="38"/>
  <c r="G104" i="38"/>
  <c r="F104" i="38"/>
  <c r="E104" i="38"/>
  <c r="H103" i="38"/>
  <c r="G103" i="38"/>
  <c r="F103" i="38"/>
  <c r="E103" i="38"/>
  <c r="H102" i="38"/>
  <c r="G102" i="38"/>
  <c r="F102" i="38"/>
  <c r="E102" i="38"/>
  <c r="H101" i="38"/>
  <c r="G101" i="38"/>
  <c r="F101" i="38"/>
  <c r="E101" i="38"/>
  <c r="H100" i="38"/>
  <c r="G100" i="38"/>
  <c r="F100" i="38"/>
  <c r="E100" i="38"/>
  <c r="H99" i="38"/>
  <c r="G99" i="38"/>
  <c r="F99" i="38"/>
  <c r="E99" i="38"/>
  <c r="H98" i="38"/>
  <c r="G98" i="38"/>
  <c r="F98" i="38"/>
  <c r="E98" i="38"/>
  <c r="H97" i="38"/>
  <c r="G97" i="38"/>
  <c r="F97" i="38"/>
  <c r="E97" i="38"/>
  <c r="H96" i="38"/>
  <c r="G96" i="38"/>
  <c r="F96" i="38"/>
  <c r="E96" i="38"/>
  <c r="H95" i="38"/>
  <c r="G95" i="38"/>
  <c r="F95" i="38"/>
  <c r="E95" i="38"/>
  <c r="H94" i="38"/>
  <c r="G94" i="38"/>
  <c r="F94" i="38"/>
  <c r="E94" i="38"/>
  <c r="H93" i="38"/>
  <c r="G93" i="38"/>
  <c r="F93" i="38"/>
  <c r="E93" i="38"/>
  <c r="H92" i="38"/>
  <c r="G92" i="38"/>
  <c r="F92" i="38"/>
  <c r="E92" i="38"/>
  <c r="H91" i="38"/>
  <c r="G91" i="38"/>
  <c r="F91" i="38"/>
  <c r="E91" i="38"/>
  <c r="H90" i="38"/>
  <c r="G90" i="38"/>
  <c r="F90" i="38"/>
  <c r="E90" i="38"/>
  <c r="H89" i="38"/>
  <c r="G89" i="38"/>
  <c r="F89" i="38"/>
  <c r="E89" i="38"/>
  <c r="H88" i="38"/>
  <c r="G88" i="38"/>
  <c r="F88" i="38"/>
  <c r="E88" i="38"/>
  <c r="H87" i="38"/>
  <c r="G87" i="38"/>
  <c r="F87" i="38"/>
  <c r="E87" i="38"/>
  <c r="H86" i="38"/>
  <c r="G86" i="38"/>
  <c r="F86" i="38"/>
  <c r="E86" i="38"/>
  <c r="H85" i="38"/>
  <c r="G85" i="38"/>
  <c r="F85" i="38"/>
  <c r="E85" i="38"/>
  <c r="H84" i="38"/>
  <c r="G84" i="38"/>
  <c r="F84" i="38"/>
  <c r="E84" i="38"/>
  <c r="H83" i="38"/>
  <c r="G83" i="38"/>
  <c r="F83" i="38"/>
  <c r="E83" i="38"/>
  <c r="H82" i="38"/>
  <c r="G82" i="38"/>
  <c r="F82" i="38"/>
  <c r="E82" i="38"/>
  <c r="H81" i="38"/>
  <c r="G81" i="38"/>
  <c r="F81" i="38"/>
  <c r="E81" i="38"/>
  <c r="H80" i="38"/>
  <c r="G80" i="38"/>
  <c r="F80" i="38"/>
  <c r="E80" i="38"/>
  <c r="H78" i="38"/>
  <c r="G78" i="38"/>
  <c r="F78" i="38"/>
  <c r="E78" i="38"/>
  <c r="H77" i="38"/>
  <c r="G77" i="38"/>
  <c r="F77" i="38"/>
  <c r="E77" i="38"/>
  <c r="H76" i="38"/>
  <c r="G76" i="38"/>
  <c r="F76" i="38"/>
  <c r="E76" i="38"/>
  <c r="H74" i="38"/>
  <c r="G74" i="38"/>
  <c r="F74" i="38"/>
  <c r="E74" i="38"/>
  <c r="H73" i="38"/>
  <c r="G73" i="38"/>
  <c r="F73" i="38"/>
  <c r="E73" i="38"/>
  <c r="H72" i="38"/>
  <c r="G72" i="38"/>
  <c r="F72" i="38"/>
  <c r="E72" i="38"/>
  <c r="H71" i="38"/>
  <c r="G71" i="38"/>
  <c r="F71" i="38"/>
  <c r="E71" i="38"/>
  <c r="H70" i="38"/>
  <c r="G70" i="38"/>
  <c r="F70" i="38"/>
  <c r="E70" i="38"/>
  <c r="H69" i="38"/>
  <c r="G69" i="38"/>
  <c r="F69" i="38"/>
  <c r="E69" i="38"/>
  <c r="H68" i="38"/>
  <c r="G68" i="38"/>
  <c r="F68" i="38"/>
  <c r="E68" i="38"/>
  <c r="H66" i="38"/>
  <c r="G66" i="38"/>
  <c r="F66" i="38"/>
  <c r="E66" i="38"/>
  <c r="H65" i="38"/>
  <c r="G65" i="38"/>
  <c r="F65" i="38"/>
  <c r="E65" i="38"/>
  <c r="H64" i="38"/>
  <c r="G64" i="38"/>
  <c r="F64" i="38"/>
  <c r="E64" i="38"/>
  <c r="H63" i="38"/>
  <c r="G63" i="38"/>
  <c r="F63" i="38"/>
  <c r="E63" i="38"/>
  <c r="H62" i="38"/>
  <c r="G62" i="38"/>
  <c r="F62" i="38"/>
  <c r="E62" i="38"/>
  <c r="H61" i="38"/>
  <c r="G61" i="38"/>
  <c r="F61" i="38"/>
  <c r="E61" i="38"/>
  <c r="H59" i="38"/>
  <c r="G59" i="38"/>
  <c r="F59" i="38"/>
  <c r="E59" i="38"/>
  <c r="H58" i="38"/>
  <c r="G58" i="38"/>
  <c r="F58" i="38"/>
  <c r="E58" i="38"/>
  <c r="H57" i="38"/>
  <c r="G57" i="38"/>
  <c r="F57" i="38"/>
  <c r="E57" i="38"/>
  <c r="H55" i="38"/>
  <c r="G55" i="38"/>
  <c r="F55" i="38"/>
  <c r="E55" i="38"/>
  <c r="H54" i="38"/>
  <c r="G54" i="38"/>
  <c r="F54" i="38"/>
  <c r="E54" i="38"/>
  <c r="H53" i="38"/>
  <c r="G53" i="38"/>
  <c r="F53" i="38"/>
  <c r="E53" i="38"/>
  <c r="H52" i="38"/>
  <c r="G52" i="38"/>
  <c r="F52" i="38"/>
  <c r="E52" i="38"/>
  <c r="H51" i="38"/>
  <c r="G51" i="38"/>
  <c r="F51" i="38"/>
  <c r="E51" i="38"/>
  <c r="H50" i="38"/>
  <c r="G50" i="38"/>
  <c r="F50" i="38"/>
  <c r="E50" i="38"/>
  <c r="H49" i="38"/>
  <c r="G49" i="38"/>
  <c r="F49" i="38"/>
  <c r="E49" i="38"/>
  <c r="H48" i="38"/>
  <c r="G48" i="38"/>
  <c r="F48" i="38"/>
  <c r="E48" i="38"/>
  <c r="H47" i="38"/>
  <c r="G47" i="38"/>
  <c r="F47" i="38"/>
  <c r="E47" i="38"/>
  <c r="H46" i="38"/>
  <c r="G46" i="38"/>
  <c r="F46" i="38"/>
  <c r="E46" i="38"/>
  <c r="H45" i="38"/>
  <c r="G45" i="38"/>
  <c r="F45" i="38"/>
  <c r="E45" i="38"/>
  <c r="H44" i="38"/>
  <c r="G44" i="38"/>
  <c r="F44" i="38"/>
  <c r="E44" i="38"/>
  <c r="H43" i="38"/>
  <c r="G43" i="38"/>
  <c r="F43" i="38"/>
  <c r="E43" i="38"/>
  <c r="H40" i="38"/>
  <c r="G40" i="38"/>
  <c r="F40" i="38"/>
  <c r="E40" i="38"/>
  <c r="H39" i="38"/>
  <c r="G39" i="38"/>
  <c r="F39" i="38"/>
  <c r="E39" i="38"/>
  <c r="H38" i="38"/>
  <c r="G38" i="38"/>
  <c r="F38" i="38"/>
  <c r="E38" i="38"/>
  <c r="H37" i="38"/>
  <c r="G37" i="38"/>
  <c r="F37" i="38"/>
  <c r="E37" i="38"/>
  <c r="H36" i="38"/>
  <c r="G36" i="38"/>
  <c r="F36" i="38"/>
  <c r="E36" i="38"/>
  <c r="H35" i="38"/>
  <c r="G35" i="38"/>
  <c r="F35" i="38"/>
  <c r="E35" i="38"/>
  <c r="H34" i="38"/>
  <c r="G34" i="38"/>
  <c r="F34" i="38"/>
  <c r="E34" i="38"/>
  <c r="H33" i="38"/>
  <c r="G33" i="38"/>
  <c r="F33" i="38"/>
  <c r="E33" i="38"/>
  <c r="H30" i="38"/>
  <c r="G30" i="38"/>
  <c r="F30" i="38"/>
  <c r="E30" i="38"/>
  <c r="H29" i="38"/>
  <c r="G29" i="38"/>
  <c r="F29" i="38"/>
  <c r="E29" i="38"/>
  <c r="H28" i="38"/>
  <c r="G28" i="38"/>
  <c r="F28" i="38"/>
  <c r="E28" i="38"/>
  <c r="H27" i="38"/>
  <c r="G27" i="38"/>
  <c r="F27" i="38"/>
  <c r="E27" i="38"/>
  <c r="H26" i="38"/>
  <c r="G26" i="38"/>
  <c r="F26" i="38"/>
  <c r="E26" i="38"/>
  <c r="H25" i="38"/>
  <c r="G25" i="38"/>
  <c r="F25" i="38"/>
  <c r="E25" i="38"/>
  <c r="H23" i="38"/>
  <c r="G23" i="38"/>
  <c r="F23" i="38"/>
  <c r="E23" i="38"/>
  <c r="H21" i="38"/>
  <c r="G21" i="38"/>
  <c r="F21" i="38"/>
  <c r="E21" i="38"/>
  <c r="H19" i="38"/>
  <c r="G19" i="38"/>
  <c r="F19" i="38"/>
  <c r="E19" i="38"/>
  <c r="H18" i="38"/>
  <c r="G18" i="38"/>
  <c r="F18" i="38"/>
  <c r="E18" i="38"/>
  <c r="H17" i="38"/>
  <c r="G17" i="38"/>
  <c r="F17" i="38"/>
  <c r="E17" i="38"/>
  <c r="H16" i="38"/>
  <c r="G16" i="38"/>
  <c r="F16" i="38"/>
  <c r="E16" i="38"/>
  <c r="D115" i="38"/>
  <c r="D114" i="38"/>
  <c r="D113" i="38"/>
  <c r="D112" i="38"/>
  <c r="D111" i="38"/>
  <c r="D110" i="38"/>
  <c r="D109" i="38"/>
  <c r="D108" i="38"/>
  <c r="D107" i="38"/>
  <c r="D106" i="38"/>
  <c r="D105" i="38"/>
  <c r="D104" i="38"/>
  <c r="D103" i="38"/>
  <c r="D102" i="38"/>
  <c r="D101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8" i="38"/>
  <c r="D77" i="38"/>
  <c r="D76" i="38"/>
  <c r="D74" i="38"/>
  <c r="D73" i="38"/>
  <c r="D72" i="38"/>
  <c r="D71" i="38"/>
  <c r="D70" i="38"/>
  <c r="D69" i="38"/>
  <c r="D68" i="38"/>
  <c r="D66" i="38"/>
  <c r="D65" i="38"/>
  <c r="D64" i="38"/>
  <c r="D63" i="38"/>
  <c r="D62" i="38"/>
  <c r="D61" i="38"/>
  <c r="D59" i="38"/>
  <c r="D58" i="38"/>
  <c r="D57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0" i="38"/>
  <c r="D39" i="38"/>
  <c r="D38" i="38"/>
  <c r="D37" i="38"/>
  <c r="D36" i="38"/>
  <c r="D35" i="38"/>
  <c r="D34" i="38"/>
  <c r="D33" i="38"/>
  <c r="D30" i="38"/>
  <c r="D29" i="38"/>
  <c r="D28" i="38"/>
  <c r="D27" i="38"/>
  <c r="D26" i="38"/>
  <c r="D25" i="38"/>
  <c r="D23" i="38"/>
  <c r="D21" i="38"/>
  <c r="D19" i="38"/>
  <c r="D18" i="38"/>
  <c r="D17" i="38"/>
  <c r="D16" i="38"/>
  <c r="C115" i="38"/>
  <c r="C114" i="38"/>
  <c r="C113" i="38"/>
  <c r="C112" i="38"/>
  <c r="C111" i="38"/>
  <c r="C110" i="38"/>
  <c r="C109" i="38"/>
  <c r="C108" i="38"/>
  <c r="C107" i="38"/>
  <c r="C106" i="38"/>
  <c r="C105" i="38"/>
  <c r="C104" i="38"/>
  <c r="C103" i="38"/>
  <c r="C102" i="38"/>
  <c r="C101" i="38"/>
  <c r="C100" i="38"/>
  <c r="C99" i="38"/>
  <c r="C98" i="38"/>
  <c r="C97" i="38"/>
  <c r="C96" i="38"/>
  <c r="C95" i="38"/>
  <c r="C94" i="38"/>
  <c r="C93" i="38"/>
  <c r="C92" i="38"/>
  <c r="C91" i="38"/>
  <c r="C90" i="38"/>
  <c r="C89" i="38"/>
  <c r="C88" i="38"/>
  <c r="C87" i="38"/>
  <c r="C86" i="38"/>
  <c r="C85" i="38"/>
  <c r="C84" i="38"/>
  <c r="C83" i="38"/>
  <c r="C82" i="38"/>
  <c r="C81" i="38"/>
  <c r="C80" i="38"/>
  <c r="C78" i="38"/>
  <c r="C77" i="38"/>
  <c r="C76" i="38"/>
  <c r="C74" i="38"/>
  <c r="C73" i="38"/>
  <c r="C72" i="38"/>
  <c r="C71" i="38"/>
  <c r="C70" i="38"/>
  <c r="C69" i="38"/>
  <c r="C68" i="38"/>
  <c r="C66" i="38"/>
  <c r="C65" i="38"/>
  <c r="C64" i="38"/>
  <c r="C63" i="38"/>
  <c r="C62" i="38"/>
  <c r="C61" i="38"/>
  <c r="C59" i="38"/>
  <c r="C58" i="38"/>
  <c r="C57" i="38"/>
  <c r="C55" i="38"/>
  <c r="C54" i="38"/>
  <c r="C53" i="38"/>
  <c r="C52" i="38"/>
  <c r="C51" i="38"/>
  <c r="C50" i="38"/>
  <c r="C49" i="38"/>
  <c r="C48" i="38"/>
  <c r="C47" i="38"/>
  <c r="C46" i="38"/>
  <c r="C45" i="38"/>
  <c r="C44" i="38"/>
  <c r="C43" i="38"/>
  <c r="C40" i="38"/>
  <c r="C39" i="38"/>
  <c r="C38" i="38"/>
  <c r="C37" i="38"/>
  <c r="C36" i="38"/>
  <c r="C35" i="38"/>
  <c r="C34" i="38"/>
  <c r="C33" i="38"/>
  <c r="C30" i="38"/>
  <c r="C29" i="38"/>
  <c r="C28" i="38"/>
  <c r="C27" i="38"/>
  <c r="C26" i="38"/>
  <c r="C25" i="38"/>
  <c r="C23" i="38"/>
  <c r="C21" i="38"/>
  <c r="C19" i="38"/>
  <c r="C18" i="38"/>
  <c r="C17" i="38"/>
  <c r="C16" i="38"/>
  <c r="A5" i="39" l="1"/>
  <c r="B5" i="39"/>
  <c r="C5" i="39"/>
  <c r="D5" i="39"/>
  <c r="E5" i="39"/>
  <c r="F5" i="39"/>
  <c r="G5" i="39"/>
  <c r="H5" i="39"/>
  <c r="I5" i="39"/>
  <c r="J5" i="39"/>
  <c r="K5" i="39"/>
  <c r="L5" i="39"/>
  <c r="M5" i="39"/>
  <c r="A6" i="39"/>
  <c r="B6" i="39"/>
  <c r="C6" i="39"/>
  <c r="D6" i="39"/>
  <c r="E6" i="39"/>
  <c r="F6" i="39"/>
  <c r="G6" i="39"/>
  <c r="H6" i="39"/>
  <c r="I6" i="39"/>
  <c r="J6" i="39"/>
  <c r="K6" i="39"/>
  <c r="L6" i="39"/>
  <c r="M6" i="39"/>
  <c r="A7" i="39"/>
  <c r="B7" i="39"/>
  <c r="C7" i="39"/>
  <c r="D7" i="39"/>
  <c r="E7" i="39"/>
  <c r="F7" i="39"/>
  <c r="G7" i="39"/>
  <c r="H7" i="39"/>
  <c r="I7" i="39"/>
  <c r="J7" i="39"/>
  <c r="K7" i="39"/>
  <c r="L7" i="39"/>
  <c r="M7" i="39"/>
  <c r="A8" i="39"/>
  <c r="B8" i="39"/>
  <c r="C8" i="39"/>
  <c r="D8" i="39"/>
  <c r="E8" i="39"/>
  <c r="F8" i="39"/>
  <c r="G8" i="39"/>
  <c r="H8" i="39"/>
  <c r="I8" i="39"/>
  <c r="J8" i="39"/>
  <c r="K8" i="39"/>
  <c r="L8" i="39"/>
  <c r="M8" i="39"/>
  <c r="A9" i="39"/>
  <c r="B9" i="39"/>
  <c r="C9" i="39"/>
  <c r="D9" i="39"/>
  <c r="E9" i="39"/>
  <c r="F9" i="39"/>
  <c r="G9" i="39"/>
  <c r="H9" i="39"/>
  <c r="I9" i="39"/>
  <c r="J9" i="39"/>
  <c r="K9" i="39"/>
  <c r="L9" i="39"/>
  <c r="M9" i="39"/>
  <c r="A10" i="39"/>
  <c r="B10" i="39"/>
  <c r="C10" i="39"/>
  <c r="D10" i="39"/>
  <c r="E10" i="39"/>
  <c r="F10" i="39"/>
  <c r="G10" i="39"/>
  <c r="H10" i="39"/>
  <c r="I10" i="39"/>
  <c r="J10" i="39"/>
  <c r="K10" i="39"/>
  <c r="L10" i="39"/>
  <c r="M10" i="39"/>
  <c r="A11" i="39"/>
  <c r="B11" i="39"/>
  <c r="C11" i="39"/>
  <c r="D11" i="39"/>
  <c r="E11" i="39"/>
  <c r="F11" i="39"/>
  <c r="G11" i="39"/>
  <c r="H11" i="39"/>
  <c r="I11" i="39"/>
  <c r="J11" i="39"/>
  <c r="K11" i="39"/>
  <c r="L11" i="39"/>
  <c r="M11" i="39"/>
  <c r="A12" i="39"/>
  <c r="B12" i="39"/>
  <c r="C12" i="39"/>
  <c r="D12" i="39"/>
  <c r="E12" i="39"/>
  <c r="F12" i="39"/>
  <c r="G12" i="39"/>
  <c r="H12" i="39"/>
  <c r="I12" i="39"/>
  <c r="J12" i="39"/>
  <c r="K12" i="39"/>
  <c r="L12" i="39"/>
  <c r="M12" i="39"/>
  <c r="A13" i="39"/>
  <c r="B13" i="39"/>
  <c r="C13" i="39"/>
  <c r="D13" i="39"/>
  <c r="E13" i="39"/>
  <c r="F13" i="39"/>
  <c r="G13" i="39"/>
  <c r="H13" i="39"/>
  <c r="I13" i="39"/>
  <c r="J13" i="39"/>
  <c r="K13" i="39"/>
  <c r="L13" i="39"/>
  <c r="M13" i="39"/>
  <c r="A14" i="39"/>
  <c r="B14" i="39"/>
  <c r="C14" i="39"/>
  <c r="D14" i="39"/>
  <c r="E14" i="39"/>
  <c r="F14" i="39"/>
  <c r="G14" i="39"/>
  <c r="H14" i="39"/>
  <c r="I14" i="39"/>
  <c r="J14" i="39"/>
  <c r="K14" i="39"/>
  <c r="L14" i="39"/>
  <c r="M14" i="39"/>
  <c r="A15" i="39"/>
  <c r="B15" i="39"/>
  <c r="C15" i="39"/>
  <c r="D15" i="39"/>
  <c r="E15" i="39"/>
  <c r="F15" i="39"/>
  <c r="G15" i="39"/>
  <c r="H15" i="39"/>
  <c r="I15" i="39"/>
  <c r="J15" i="39"/>
  <c r="K15" i="39"/>
  <c r="L15" i="39"/>
  <c r="M15" i="39"/>
  <c r="A16" i="39"/>
  <c r="B16" i="39"/>
  <c r="C16" i="39"/>
  <c r="D16" i="39"/>
  <c r="E16" i="39"/>
  <c r="F16" i="39"/>
  <c r="G16" i="39"/>
  <c r="H16" i="39"/>
  <c r="I16" i="39"/>
  <c r="J16" i="39"/>
  <c r="K16" i="39"/>
  <c r="L16" i="39"/>
  <c r="M16" i="39"/>
  <c r="A17" i="39"/>
  <c r="B17" i="39"/>
  <c r="C17" i="39"/>
  <c r="D17" i="39"/>
  <c r="E17" i="39"/>
  <c r="F17" i="39"/>
  <c r="G17" i="39"/>
  <c r="H17" i="39"/>
  <c r="I17" i="39"/>
  <c r="J17" i="39"/>
  <c r="K17" i="39"/>
  <c r="L17" i="39"/>
  <c r="M17" i="39"/>
  <c r="A18" i="39"/>
  <c r="B18" i="39"/>
  <c r="C18" i="39"/>
  <c r="D18" i="39"/>
  <c r="E18" i="39"/>
  <c r="F18" i="39"/>
  <c r="G18" i="39"/>
  <c r="H18" i="39"/>
  <c r="I18" i="39"/>
  <c r="J18" i="39"/>
  <c r="K18" i="39"/>
  <c r="L18" i="39"/>
  <c r="M18" i="39"/>
  <c r="A19" i="39"/>
  <c r="B19" i="39"/>
  <c r="C19" i="39"/>
  <c r="D19" i="39"/>
  <c r="E19" i="39"/>
  <c r="F19" i="39"/>
  <c r="G19" i="39"/>
  <c r="H19" i="39"/>
  <c r="I19" i="39"/>
  <c r="J19" i="39"/>
  <c r="K19" i="39"/>
  <c r="L19" i="39"/>
  <c r="M19" i="39"/>
  <c r="A20" i="39"/>
  <c r="B20" i="39"/>
  <c r="C20" i="39"/>
  <c r="D20" i="39"/>
  <c r="E20" i="39"/>
  <c r="F20" i="39"/>
  <c r="G20" i="39"/>
  <c r="H20" i="39"/>
  <c r="I20" i="39"/>
  <c r="J20" i="39"/>
  <c r="K20" i="39"/>
  <c r="L20" i="39"/>
  <c r="M20" i="39"/>
  <c r="A21" i="39"/>
  <c r="B21" i="39"/>
  <c r="C21" i="39"/>
  <c r="D21" i="39"/>
  <c r="E21" i="39"/>
  <c r="F21" i="39"/>
  <c r="G21" i="39"/>
  <c r="H21" i="39"/>
  <c r="I21" i="39"/>
  <c r="J21" i="39"/>
  <c r="K21" i="39"/>
  <c r="L21" i="39"/>
  <c r="M21" i="39"/>
  <c r="A22" i="39"/>
  <c r="B22" i="39"/>
  <c r="C22" i="39"/>
  <c r="D22" i="39"/>
  <c r="E22" i="39"/>
  <c r="F22" i="39"/>
  <c r="G22" i="39"/>
  <c r="H22" i="39"/>
  <c r="I22" i="39"/>
  <c r="J22" i="39"/>
  <c r="K22" i="39"/>
  <c r="L22" i="39"/>
  <c r="M22" i="39"/>
  <c r="A23" i="39"/>
  <c r="B23" i="39"/>
  <c r="C23" i="39"/>
  <c r="D23" i="39"/>
  <c r="E23" i="39"/>
  <c r="F23" i="39"/>
  <c r="G23" i="39"/>
  <c r="H23" i="39"/>
  <c r="I23" i="39"/>
  <c r="J23" i="39"/>
  <c r="K23" i="39"/>
  <c r="L23" i="39"/>
  <c r="M23" i="39"/>
  <c r="A24" i="39"/>
  <c r="B24" i="39"/>
  <c r="C24" i="39"/>
  <c r="D24" i="39"/>
  <c r="E24" i="39"/>
  <c r="F24" i="39"/>
  <c r="G24" i="39"/>
  <c r="H24" i="39"/>
  <c r="I24" i="39"/>
  <c r="J24" i="39"/>
  <c r="K24" i="39"/>
  <c r="L24" i="39"/>
  <c r="M24" i="39"/>
  <c r="A25" i="39"/>
  <c r="B25" i="39"/>
  <c r="C25" i="39"/>
  <c r="D25" i="39"/>
  <c r="E25" i="39"/>
  <c r="F25" i="39"/>
  <c r="G25" i="39"/>
  <c r="H25" i="39"/>
  <c r="I25" i="39"/>
  <c r="J25" i="39"/>
  <c r="K25" i="39"/>
  <c r="L25" i="39"/>
  <c r="M25" i="39"/>
  <c r="A26" i="39"/>
  <c r="B26" i="39"/>
  <c r="C26" i="39"/>
  <c r="D26" i="39"/>
  <c r="E26" i="39"/>
  <c r="F26" i="39"/>
  <c r="G26" i="39"/>
  <c r="H26" i="39"/>
  <c r="I26" i="39"/>
  <c r="J26" i="39"/>
  <c r="K26" i="39"/>
  <c r="L26" i="39"/>
  <c r="M26" i="39"/>
  <c r="A27" i="39"/>
  <c r="B27" i="39"/>
  <c r="C27" i="39"/>
  <c r="D27" i="39"/>
  <c r="E27" i="39"/>
  <c r="F27" i="39"/>
  <c r="G27" i="39"/>
  <c r="H27" i="39"/>
  <c r="I27" i="39"/>
  <c r="J27" i="39"/>
  <c r="K27" i="39"/>
  <c r="L27" i="39"/>
  <c r="M27" i="39"/>
  <c r="A28" i="39"/>
  <c r="B28" i="39"/>
  <c r="C28" i="39"/>
  <c r="D28" i="39"/>
  <c r="E28" i="39"/>
  <c r="F28" i="39"/>
  <c r="G28" i="39"/>
  <c r="H28" i="39"/>
  <c r="I28" i="39"/>
  <c r="J28" i="39"/>
  <c r="K28" i="39"/>
  <c r="L28" i="39"/>
  <c r="M28" i="39"/>
  <c r="A29" i="39"/>
  <c r="B29" i="39"/>
  <c r="C29" i="39"/>
  <c r="D29" i="39"/>
  <c r="E29" i="39"/>
  <c r="F29" i="39"/>
  <c r="G29" i="39"/>
  <c r="H29" i="39"/>
  <c r="I29" i="39"/>
  <c r="J29" i="39"/>
  <c r="K29" i="39"/>
  <c r="L29" i="39"/>
  <c r="M29" i="39"/>
  <c r="A30" i="39"/>
  <c r="B30" i="39"/>
  <c r="C30" i="39"/>
  <c r="D30" i="39"/>
  <c r="E30" i="39"/>
  <c r="F30" i="39"/>
  <c r="G30" i="39"/>
  <c r="H30" i="39"/>
  <c r="I30" i="39"/>
  <c r="J30" i="39"/>
  <c r="K30" i="39"/>
  <c r="L30" i="39"/>
  <c r="M30" i="39"/>
  <c r="A31" i="39"/>
  <c r="B31" i="39"/>
  <c r="C31" i="39"/>
  <c r="D31" i="39"/>
  <c r="E31" i="39"/>
  <c r="F31" i="39"/>
  <c r="G31" i="39"/>
  <c r="H31" i="39"/>
  <c r="I31" i="39"/>
  <c r="J31" i="39"/>
  <c r="K31" i="39"/>
  <c r="L31" i="39"/>
  <c r="M31" i="39"/>
  <c r="A32" i="39"/>
  <c r="B32" i="39"/>
  <c r="C32" i="39"/>
  <c r="D32" i="39"/>
  <c r="E32" i="39"/>
  <c r="F32" i="39"/>
  <c r="G32" i="39"/>
  <c r="H32" i="39"/>
  <c r="I32" i="39"/>
  <c r="J32" i="39"/>
  <c r="K32" i="39"/>
  <c r="L32" i="39"/>
  <c r="M32" i="39"/>
  <c r="A33" i="39"/>
  <c r="B33" i="39"/>
  <c r="C33" i="39"/>
  <c r="D33" i="39"/>
  <c r="E33" i="39"/>
  <c r="F33" i="39"/>
  <c r="G33" i="39"/>
  <c r="H33" i="39"/>
  <c r="I33" i="39"/>
  <c r="J33" i="39"/>
  <c r="K33" i="39"/>
  <c r="L33" i="39"/>
  <c r="M33" i="39"/>
  <c r="A34" i="39"/>
  <c r="B34" i="39"/>
  <c r="C34" i="39"/>
  <c r="D34" i="39"/>
  <c r="E34" i="39"/>
  <c r="F34" i="39"/>
  <c r="G34" i="39"/>
  <c r="H34" i="39"/>
  <c r="I34" i="39"/>
  <c r="J34" i="39"/>
  <c r="K34" i="39"/>
  <c r="L34" i="39"/>
  <c r="M34" i="39"/>
  <c r="A35" i="39"/>
  <c r="B35" i="39"/>
  <c r="C35" i="39"/>
  <c r="D35" i="39"/>
  <c r="E35" i="39"/>
  <c r="F35" i="39"/>
  <c r="G35" i="39"/>
  <c r="H35" i="39"/>
  <c r="I35" i="39"/>
  <c r="J35" i="39"/>
  <c r="K35" i="39"/>
  <c r="L35" i="39"/>
  <c r="M35" i="39"/>
  <c r="A36" i="39"/>
  <c r="B36" i="39"/>
  <c r="C36" i="39"/>
  <c r="D36" i="39"/>
  <c r="E36" i="39"/>
  <c r="F36" i="39"/>
  <c r="G36" i="39"/>
  <c r="H36" i="39"/>
  <c r="I36" i="39"/>
  <c r="J36" i="39"/>
  <c r="K36" i="39"/>
  <c r="L36" i="39"/>
  <c r="M36" i="39"/>
  <c r="A37" i="39"/>
  <c r="B37" i="39"/>
  <c r="C37" i="39"/>
  <c r="D37" i="39"/>
  <c r="E37" i="39"/>
  <c r="F37" i="39"/>
  <c r="G37" i="39"/>
  <c r="H37" i="39"/>
  <c r="I37" i="39"/>
  <c r="J37" i="39"/>
  <c r="K37" i="39"/>
  <c r="L37" i="39"/>
  <c r="M37" i="39"/>
  <c r="AV45" i="34" l="1"/>
  <c r="Z45" i="34"/>
  <c r="Y45" i="34"/>
  <c r="AV44" i="34"/>
  <c r="Z44" i="34"/>
  <c r="Y44" i="34"/>
  <c r="AV43" i="34"/>
  <c r="Z43" i="34"/>
  <c r="Y43" i="34"/>
  <c r="AV42" i="34"/>
  <c r="Z42" i="34"/>
  <c r="Y42" i="34"/>
  <c r="AV41" i="34"/>
  <c r="Z41" i="34"/>
  <c r="Y41" i="34"/>
  <c r="AV40" i="34"/>
  <c r="Z40" i="34"/>
  <c r="Y40" i="34"/>
  <c r="AV39" i="34"/>
  <c r="Z39" i="34"/>
  <c r="Y39" i="34"/>
  <c r="Y38" i="34"/>
  <c r="AV37" i="34"/>
  <c r="Z37" i="34"/>
  <c r="Y37" i="34"/>
  <c r="AV36" i="34"/>
  <c r="Z36" i="34"/>
  <c r="Y36" i="34"/>
  <c r="AB37" i="39"/>
  <c r="AA37" i="39"/>
  <c r="Z37" i="39"/>
  <c r="Y37" i="39"/>
  <c r="X37" i="39"/>
  <c r="W37" i="39"/>
  <c r="U37" i="39"/>
  <c r="T37" i="39"/>
  <c r="S37" i="39"/>
  <c r="R37" i="39"/>
  <c r="Q37" i="39"/>
  <c r="P37" i="39"/>
  <c r="AB36" i="39"/>
  <c r="AA36" i="39"/>
  <c r="Z36" i="39"/>
  <c r="Y36" i="39"/>
  <c r="X36" i="39"/>
  <c r="W36" i="39"/>
  <c r="U36" i="39"/>
  <c r="T36" i="39"/>
  <c r="S36" i="39"/>
  <c r="R36" i="39"/>
  <c r="Q36" i="39"/>
  <c r="P36" i="39"/>
  <c r="AV35" i="34"/>
  <c r="AJ35" i="39" s="1"/>
  <c r="AB35" i="39"/>
  <c r="AA35" i="39"/>
  <c r="Z35" i="39"/>
  <c r="Y35" i="39"/>
  <c r="X35" i="39"/>
  <c r="W35" i="39"/>
  <c r="U35" i="39"/>
  <c r="T35" i="39"/>
  <c r="S35" i="39"/>
  <c r="R35" i="39"/>
  <c r="Q35" i="39"/>
  <c r="P35" i="39"/>
  <c r="Z35" i="34"/>
  <c r="Y35" i="34"/>
  <c r="AV34" i="34"/>
  <c r="AJ34" i="39" s="1"/>
  <c r="AB34" i="39"/>
  <c r="AA34" i="39"/>
  <c r="Z34" i="39"/>
  <c r="Y34" i="39"/>
  <c r="X34" i="39"/>
  <c r="W34" i="39"/>
  <c r="U34" i="39"/>
  <c r="T34" i="39"/>
  <c r="S34" i="39"/>
  <c r="R34" i="39"/>
  <c r="Q34" i="39"/>
  <c r="P34" i="39"/>
  <c r="Z34" i="34"/>
  <c r="Y34" i="34"/>
  <c r="AV33" i="34"/>
  <c r="AJ33" i="39" s="1"/>
  <c r="AB33" i="39"/>
  <c r="AA33" i="39"/>
  <c r="Z33" i="39"/>
  <c r="Y33" i="39"/>
  <c r="X33" i="39"/>
  <c r="W33" i="39"/>
  <c r="U33" i="39"/>
  <c r="T33" i="39"/>
  <c r="S33" i="39"/>
  <c r="R33" i="39"/>
  <c r="Q33" i="39"/>
  <c r="P33" i="39"/>
  <c r="Z33" i="34"/>
  <c r="Y33" i="34"/>
  <c r="AV32" i="34"/>
  <c r="AJ32" i="39" s="1"/>
  <c r="AB32" i="39"/>
  <c r="AA32" i="39"/>
  <c r="Z32" i="39"/>
  <c r="Y32" i="39"/>
  <c r="X32" i="39"/>
  <c r="W32" i="39"/>
  <c r="U32" i="39"/>
  <c r="T32" i="39"/>
  <c r="S32" i="39"/>
  <c r="R32" i="39"/>
  <c r="Q32" i="39"/>
  <c r="P32" i="39"/>
  <c r="Z32" i="34"/>
  <c r="Y32" i="34"/>
  <c r="AV31" i="34"/>
  <c r="AJ31" i="39" s="1"/>
  <c r="AB31" i="39"/>
  <c r="AA31" i="39"/>
  <c r="Z31" i="39"/>
  <c r="Y31" i="39"/>
  <c r="X31" i="39"/>
  <c r="W31" i="39"/>
  <c r="U31" i="39"/>
  <c r="T31" i="39"/>
  <c r="S31" i="39"/>
  <c r="R31" i="39"/>
  <c r="Q31" i="39"/>
  <c r="P31" i="39"/>
  <c r="Z31" i="34"/>
  <c r="Y31" i="34"/>
  <c r="AV30" i="34"/>
  <c r="AJ30" i="39" s="1"/>
  <c r="AB30" i="39"/>
  <c r="AA30" i="39"/>
  <c r="Z30" i="39"/>
  <c r="Y30" i="39"/>
  <c r="X30" i="39"/>
  <c r="W30" i="39"/>
  <c r="U30" i="39"/>
  <c r="T30" i="39"/>
  <c r="S30" i="39"/>
  <c r="R30" i="39"/>
  <c r="Q30" i="39"/>
  <c r="P30" i="39"/>
  <c r="Z30" i="34"/>
  <c r="Y30" i="34"/>
  <c r="AB29" i="39"/>
  <c r="AA29" i="39"/>
  <c r="Z29" i="39"/>
  <c r="Y29" i="39"/>
  <c r="X29" i="39"/>
  <c r="U29" i="39"/>
  <c r="T29" i="39"/>
  <c r="S29" i="39"/>
  <c r="R29" i="39"/>
  <c r="P29" i="39"/>
  <c r="Y29" i="34"/>
  <c r="AV28" i="34"/>
  <c r="AJ28" i="39" s="1"/>
  <c r="AB28" i="39"/>
  <c r="AA28" i="39"/>
  <c r="Z28" i="39"/>
  <c r="Y28" i="39"/>
  <c r="X28" i="39"/>
  <c r="W28" i="39"/>
  <c r="U28" i="39"/>
  <c r="T28" i="39"/>
  <c r="S28" i="39"/>
  <c r="R28" i="39"/>
  <c r="Q28" i="39"/>
  <c r="P28" i="39"/>
  <c r="Z28" i="34"/>
  <c r="Y28" i="34"/>
  <c r="AB27" i="39"/>
  <c r="AA27" i="39"/>
  <c r="Z27" i="39"/>
  <c r="Y27" i="39"/>
  <c r="U27" i="39"/>
  <c r="T27" i="39"/>
  <c r="S27" i="39"/>
  <c r="R27" i="39"/>
  <c r="Q27" i="39"/>
  <c r="P27" i="39"/>
  <c r="Y27" i="34"/>
  <c r="AA26" i="39"/>
  <c r="Z26" i="39"/>
  <c r="T26" i="39"/>
  <c r="S26" i="39"/>
  <c r="Y26" i="34"/>
  <c r="AB25" i="39"/>
  <c r="AA25" i="39"/>
  <c r="Z25" i="39"/>
  <c r="Y25" i="39"/>
  <c r="U25" i="39"/>
  <c r="T25" i="39"/>
  <c r="S25" i="39"/>
  <c r="R25" i="39"/>
  <c r="Y25" i="34"/>
  <c r="AV24" i="34"/>
  <c r="AJ24" i="39" s="1"/>
  <c r="AB24" i="39"/>
  <c r="AA24" i="39"/>
  <c r="Z24" i="39"/>
  <c r="Y24" i="39"/>
  <c r="X24" i="39"/>
  <c r="W24" i="39"/>
  <c r="U24" i="39"/>
  <c r="T24" i="39"/>
  <c r="S24" i="39"/>
  <c r="R24" i="39"/>
  <c r="Q24" i="39"/>
  <c r="P24" i="39"/>
  <c r="Z24" i="34"/>
  <c r="Y24" i="34"/>
  <c r="AB23" i="39"/>
  <c r="AA23" i="39"/>
  <c r="U23" i="39"/>
  <c r="T23" i="39"/>
  <c r="Y23" i="34"/>
  <c r="AV22" i="34"/>
  <c r="AJ22" i="39" s="1"/>
  <c r="AB22" i="39"/>
  <c r="AA22" i="39"/>
  <c r="Z22" i="39"/>
  <c r="Y22" i="39"/>
  <c r="X22" i="39"/>
  <c r="W22" i="39"/>
  <c r="U22" i="39"/>
  <c r="T22" i="39"/>
  <c r="S22" i="39"/>
  <c r="R22" i="39"/>
  <c r="Q22" i="39"/>
  <c r="P22" i="39"/>
  <c r="Z22" i="34"/>
  <c r="Y22" i="34"/>
  <c r="AB21" i="39"/>
  <c r="AA21" i="39"/>
  <c r="U21" i="39"/>
  <c r="T21" i="39"/>
  <c r="Y21" i="34"/>
  <c r="AB20" i="39"/>
  <c r="AA20" i="39"/>
  <c r="Z20" i="39"/>
  <c r="Y20" i="39"/>
  <c r="X20" i="39"/>
  <c r="U20" i="39"/>
  <c r="T20" i="39"/>
  <c r="S20" i="39"/>
  <c r="R20" i="39"/>
  <c r="Y20" i="34"/>
  <c r="Q20" i="39" s="1"/>
  <c r="AB19" i="39"/>
  <c r="AA19" i="39"/>
  <c r="Z19" i="39"/>
  <c r="Y19" i="39"/>
  <c r="U19" i="39"/>
  <c r="T19" i="39"/>
  <c r="S19" i="39"/>
  <c r="R19" i="39"/>
  <c r="Y19" i="34"/>
  <c r="AB18" i="39"/>
  <c r="AA18" i="39"/>
  <c r="Z18" i="39"/>
  <c r="Y18" i="39"/>
  <c r="U18" i="39"/>
  <c r="T18" i="39"/>
  <c r="S18" i="39"/>
  <c r="R18" i="39"/>
  <c r="Q18" i="39"/>
  <c r="P18" i="39"/>
  <c r="Y18" i="34"/>
  <c r="AI18" i="34" s="1"/>
  <c r="W18" i="39" s="1"/>
  <c r="AB17" i="39"/>
  <c r="AA17" i="39"/>
  <c r="U17" i="39"/>
  <c r="T17" i="39"/>
  <c r="Y17" i="34"/>
  <c r="AB16" i="39"/>
  <c r="AA16" i="39"/>
  <c r="Z16" i="39"/>
  <c r="Y16" i="39"/>
  <c r="X16" i="39"/>
  <c r="W16" i="39"/>
  <c r="U16" i="39"/>
  <c r="T16" i="39"/>
  <c r="S16" i="39"/>
  <c r="R16" i="39"/>
  <c r="Q16" i="39"/>
  <c r="P16" i="39"/>
  <c r="Y16" i="34"/>
  <c r="AB15" i="39"/>
  <c r="AA15" i="39"/>
  <c r="U15" i="39"/>
  <c r="T15" i="39"/>
  <c r="R15" i="39"/>
  <c r="P15" i="39"/>
  <c r="Y15" i="34"/>
  <c r="AB14" i="39"/>
  <c r="AA14" i="39"/>
  <c r="Z14" i="39"/>
  <c r="U14" i="39"/>
  <c r="T14" i="39"/>
  <c r="S14" i="39"/>
  <c r="P14" i="39"/>
  <c r="Y14" i="34"/>
  <c r="Y14" i="39" s="1"/>
  <c r="AB13" i="39"/>
  <c r="AA13" i="39"/>
  <c r="Z13" i="39"/>
  <c r="Y13" i="39"/>
  <c r="U13" i="39"/>
  <c r="S13" i="39"/>
  <c r="Y13" i="34"/>
  <c r="AB12" i="39"/>
  <c r="AA12" i="39"/>
  <c r="Z12" i="39"/>
  <c r="Y12" i="39"/>
  <c r="X12" i="39"/>
  <c r="U12" i="39"/>
  <c r="T12" i="39"/>
  <c r="S12" i="39"/>
  <c r="R12" i="39"/>
  <c r="Q12" i="39"/>
  <c r="Y12" i="34"/>
  <c r="AB11" i="39"/>
  <c r="AA11" i="39"/>
  <c r="Z11" i="39"/>
  <c r="Y11" i="39"/>
  <c r="U11" i="39"/>
  <c r="T11" i="39"/>
  <c r="S11" i="39"/>
  <c r="R11" i="39"/>
  <c r="Y11" i="34"/>
  <c r="AB10" i="39"/>
  <c r="AA10" i="39"/>
  <c r="Z10" i="39"/>
  <c r="Y10" i="39"/>
  <c r="U10" i="39"/>
  <c r="T10" i="39"/>
  <c r="S10" i="39"/>
  <c r="R10" i="39"/>
  <c r="Y10" i="34"/>
  <c r="AB9" i="39"/>
  <c r="AA9" i="39"/>
  <c r="Z9" i="39"/>
  <c r="Y9" i="39"/>
  <c r="U9" i="39"/>
  <c r="T9" i="39"/>
  <c r="S9" i="39"/>
  <c r="R9" i="39"/>
  <c r="Y9" i="34"/>
  <c r="AB8" i="39"/>
  <c r="AA8" i="39"/>
  <c r="Z8" i="39"/>
  <c r="Y8" i="39"/>
  <c r="U8" i="39"/>
  <c r="T8" i="39"/>
  <c r="S8" i="39"/>
  <c r="R8" i="39"/>
  <c r="P8" i="39"/>
  <c r="Y8" i="34"/>
  <c r="AB7" i="39"/>
  <c r="AA7" i="39"/>
  <c r="Z7" i="39"/>
  <c r="U7" i="39"/>
  <c r="T7" i="39"/>
  <c r="S7" i="39"/>
  <c r="Y7" i="34"/>
  <c r="AB6" i="39"/>
  <c r="AA6" i="39"/>
  <c r="U6" i="39"/>
  <c r="Y6" i="34"/>
  <c r="AB5" i="39"/>
  <c r="AA5" i="39"/>
  <c r="U5" i="39"/>
  <c r="T5" i="39"/>
  <c r="Y5" i="34"/>
  <c r="S35" i="34"/>
  <c r="S34" i="34"/>
  <c r="S33" i="34"/>
  <c r="S32" i="34"/>
  <c r="S31" i="34"/>
  <c r="S30" i="34"/>
  <c r="S28" i="34"/>
  <c r="S24" i="34"/>
  <c r="S22" i="34"/>
  <c r="AE17" i="34" l="1"/>
  <c r="S17" i="39" s="1"/>
  <c r="AS17" i="34"/>
  <c r="AG17" i="39" s="1"/>
  <c r="AL17" i="34"/>
  <c r="Z17" i="39" s="1"/>
  <c r="AS23" i="34"/>
  <c r="AG23" i="39" s="1"/>
  <c r="AE23" i="34"/>
  <c r="AL15" i="34"/>
  <c r="Z15" i="39" s="1"/>
  <c r="AE15" i="34"/>
  <c r="S15" i="39" s="1"/>
  <c r="AS15" i="34"/>
  <c r="AG15" i="39" s="1"/>
  <c r="AC15" i="34"/>
  <c r="Q15" i="39" s="1"/>
  <c r="AQ15" i="34"/>
  <c r="AE15" i="39" s="1"/>
  <c r="AS6" i="34"/>
  <c r="AG6" i="39" s="1"/>
  <c r="AE6" i="34"/>
  <c r="AE5" i="34"/>
  <c r="S5" i="39" s="1"/>
  <c r="AL5" i="34"/>
  <c r="Z5" i="39" s="1"/>
  <c r="AS5" i="34"/>
  <c r="AG5" i="39" s="1"/>
  <c r="AS21" i="34"/>
  <c r="AG21" i="39" s="1"/>
  <c r="AE21" i="34"/>
  <c r="S21" i="39" s="1"/>
  <c r="AL21" i="34"/>
  <c r="Z21" i="39" s="1"/>
  <c r="R7" i="39"/>
  <c r="Y7" i="39"/>
  <c r="R5" i="39"/>
  <c r="AC5" i="34"/>
  <c r="AQ5" i="34"/>
  <c r="AE5" i="39" s="1"/>
  <c r="Y5" i="39"/>
  <c r="AJ5" i="34"/>
  <c r="AI14" i="34"/>
  <c r="W14" i="39" s="1"/>
  <c r="AJ14" i="34"/>
  <c r="X14" i="39" s="1"/>
  <c r="AQ10" i="34"/>
  <c r="AE10" i="39" s="1"/>
  <c r="AC10" i="34"/>
  <c r="AC8" i="34"/>
  <c r="Q8" i="39" s="1"/>
  <c r="AQ8" i="34"/>
  <c r="AE8" i="39" s="1"/>
  <c r="AJ8" i="34"/>
  <c r="X8" i="39" s="1"/>
  <c r="AI8" i="34"/>
  <c r="W8" i="39" s="1"/>
  <c r="AH35" i="34"/>
  <c r="V35" i="39" s="1"/>
  <c r="AA35" i="34"/>
  <c r="O35" i="39" s="1"/>
  <c r="AO35" i="34"/>
  <c r="AC35" i="39" s="1"/>
  <c r="AH31" i="34"/>
  <c r="V31" i="39" s="1"/>
  <c r="AA31" i="34"/>
  <c r="O31" i="39" s="1"/>
  <c r="AO31" i="34"/>
  <c r="AC31" i="39" s="1"/>
  <c r="AO32" i="34"/>
  <c r="AC32" i="39" s="1"/>
  <c r="AH32" i="34"/>
  <c r="V32" i="39" s="1"/>
  <c r="AA32" i="34"/>
  <c r="O32" i="39" s="1"/>
  <c r="AO33" i="34"/>
  <c r="AC33" i="39" s="1"/>
  <c r="AA33" i="34"/>
  <c r="O33" i="39" s="1"/>
  <c r="AH33" i="34"/>
  <c r="V33" i="39" s="1"/>
  <c r="AH24" i="34"/>
  <c r="V24" i="39" s="1"/>
  <c r="AO24" i="34"/>
  <c r="AC24" i="39" s="1"/>
  <c r="AA24" i="34"/>
  <c r="O24" i="39" s="1"/>
  <c r="AO28" i="34"/>
  <c r="AC28" i="39" s="1"/>
  <c r="AH28" i="34"/>
  <c r="V28" i="39" s="1"/>
  <c r="AA28" i="34"/>
  <c r="O28" i="39" s="1"/>
  <c r="AO22" i="34"/>
  <c r="AC22" i="39" s="1"/>
  <c r="AA22" i="34"/>
  <c r="O22" i="39" s="1"/>
  <c r="AH22" i="34"/>
  <c r="V22" i="39" s="1"/>
  <c r="AA30" i="34"/>
  <c r="O30" i="39" s="1"/>
  <c r="AO30" i="34"/>
  <c r="AC30" i="39" s="1"/>
  <c r="AH30" i="34"/>
  <c r="V30" i="39" s="1"/>
  <c r="AA34" i="34"/>
  <c r="O34" i="39" s="1"/>
  <c r="AH34" i="34"/>
  <c r="V34" i="39" s="1"/>
  <c r="AO34" i="34"/>
  <c r="AC34" i="39" s="1"/>
  <c r="X18" i="39"/>
  <c r="W29" i="39"/>
  <c r="X27" i="39"/>
  <c r="W27" i="39"/>
  <c r="N24" i="39"/>
  <c r="N32" i="39"/>
  <c r="O36" i="39"/>
  <c r="N36" i="39"/>
  <c r="N33" i="39"/>
  <c r="N28" i="39"/>
  <c r="N22" i="39"/>
  <c r="N30" i="39"/>
  <c r="N34" i="39"/>
  <c r="N31" i="39"/>
  <c r="N35" i="39"/>
  <c r="V36" i="39"/>
  <c r="Q5" i="34"/>
  <c r="Q6" i="34"/>
  <c r="Q7" i="34"/>
  <c r="Q8" i="34"/>
  <c r="Q9" i="34"/>
  <c r="Q10" i="34"/>
  <c r="Q11" i="34"/>
  <c r="Q12" i="34"/>
  <c r="Q13" i="34"/>
  <c r="Q14" i="34"/>
  <c r="Q15" i="34"/>
  <c r="Q16" i="34"/>
  <c r="Q17" i="34"/>
  <c r="Q18" i="34"/>
  <c r="S18" i="34" s="1"/>
  <c r="Q19" i="34"/>
  <c r="Q20" i="34"/>
  <c r="Q21" i="34"/>
  <c r="Q22" i="34"/>
  <c r="Q23" i="34"/>
  <c r="Q24" i="34"/>
  <c r="Q25" i="34"/>
  <c r="Q26" i="34"/>
  <c r="Q27" i="34"/>
  <c r="S27" i="34" s="1"/>
  <c r="Q28" i="34"/>
  <c r="Q29" i="34"/>
  <c r="S29" i="34" s="1"/>
  <c r="Q30" i="34"/>
  <c r="Q31" i="34"/>
  <c r="Q32" i="34"/>
  <c r="Q33" i="34"/>
  <c r="Q34" i="34"/>
  <c r="Q35" i="34"/>
  <c r="AW24" i="34"/>
  <c r="AK24" i="39" s="1"/>
  <c r="AW28" i="34"/>
  <c r="AK28" i="39" s="1"/>
  <c r="AW30" i="34"/>
  <c r="AK30" i="39" s="1"/>
  <c r="AW32" i="34"/>
  <c r="AK32" i="39" s="1"/>
  <c r="AW34" i="34"/>
  <c r="AK34" i="39" s="1"/>
  <c r="AW22" i="34"/>
  <c r="AK22" i="39" s="1"/>
  <c r="AW31" i="34"/>
  <c r="AK31" i="39" s="1"/>
  <c r="AW33" i="34"/>
  <c r="AK33" i="39" s="1"/>
  <c r="AW35" i="34"/>
  <c r="AK35" i="39" s="1"/>
  <c r="AL6" i="34" l="1"/>
  <c r="Z6" i="39" s="1"/>
  <c r="S6" i="39"/>
  <c r="AL23" i="34"/>
  <c r="Z23" i="39" s="1"/>
  <c r="S23" i="39"/>
  <c r="AJ10" i="34"/>
  <c r="X10" i="39" s="1"/>
  <c r="Q10" i="39"/>
  <c r="Z18" i="34"/>
  <c r="AO18" i="34"/>
  <c r="AC18" i="39" s="1"/>
  <c r="AA18" i="34"/>
  <c r="AH18" i="34"/>
  <c r="Z29" i="34"/>
  <c r="AO29" i="34"/>
  <c r="AC29" i="39" s="1"/>
  <c r="AA29" i="34"/>
  <c r="AH29" i="34"/>
  <c r="Z27" i="34"/>
  <c r="AH27" i="34"/>
  <c r="V27" i="39" s="1"/>
  <c r="AA27" i="34"/>
  <c r="O27" i="39" s="1"/>
  <c r="AO27" i="34"/>
  <c r="AC27" i="39" s="1"/>
  <c r="N18" i="39"/>
  <c r="N29" i="39"/>
  <c r="N27" i="39"/>
  <c r="V18" i="39" l="1"/>
  <c r="O18" i="39"/>
  <c r="O29" i="39"/>
  <c r="Q29" i="39"/>
  <c r="V29" i="39"/>
  <c r="AV27" i="34"/>
  <c r="AJ27" i="39" s="1"/>
  <c r="H116" i="38"/>
  <c r="G116" i="38"/>
  <c r="F116" i="38"/>
  <c r="E116" i="38"/>
  <c r="AV18" i="34" l="1"/>
  <c r="AJ18" i="39" s="1"/>
  <c r="AW27" i="34"/>
  <c r="AK27" i="39" s="1"/>
  <c r="AV29" i="34"/>
  <c r="AJ29" i="39" s="1"/>
  <c r="B116" i="38"/>
  <c r="H118" i="38" s="1"/>
  <c r="AM115" i="38"/>
  <c r="AW18" i="34" l="1"/>
  <c r="AK18" i="39" s="1"/>
  <c r="AW29" i="34"/>
  <c r="AK29" i="39" s="1"/>
  <c r="AN45" i="38"/>
  <c r="J50" i="36" l="1"/>
  <c r="J133" i="36"/>
  <c r="J131" i="36"/>
  <c r="J116" i="36"/>
  <c r="J114" i="36"/>
  <c r="J100" i="36"/>
  <c r="J98" i="36"/>
  <c r="J84" i="36"/>
  <c r="J82" i="36"/>
  <c r="J68" i="36"/>
  <c r="J66" i="36"/>
  <c r="J19" i="36"/>
  <c r="J34" i="36"/>
  <c r="J48" i="36"/>
  <c r="J5" i="36" l="1"/>
  <c r="J32" i="36"/>
  <c r="J17" i="36"/>
  <c r="J4" i="36" l="1"/>
  <c r="K133" i="36" s="1"/>
  <c r="AT115" i="38"/>
  <c r="O115" i="38"/>
  <c r="AS115" i="38"/>
  <c r="N115" i="38"/>
  <c r="AR115" i="38"/>
  <c r="M115" i="38"/>
  <c r="P115" i="38"/>
  <c r="L115" i="38"/>
  <c r="AP13" i="38"/>
  <c r="AP12" i="38"/>
  <c r="K100" i="36" l="1"/>
  <c r="K116" i="36"/>
  <c r="K84" i="36"/>
  <c r="J6" i="36"/>
  <c r="X22" i="35" s="1"/>
  <c r="Y17" i="35" s="1"/>
  <c r="K19" i="36"/>
  <c r="K34" i="36"/>
  <c r="K68" i="36"/>
  <c r="W3" i="38"/>
  <c r="W2" i="38"/>
  <c r="AM114" i="38" l="1"/>
  <c r="P114" i="38"/>
  <c r="L114" i="38"/>
  <c r="AI114" i="38"/>
  <c r="O114" i="38"/>
  <c r="AG114" i="38"/>
  <c r="AF114" i="38"/>
  <c r="AE114" i="38"/>
  <c r="K114" i="38"/>
  <c r="AU114" i="38"/>
  <c r="AD114" i="38" l="1"/>
  <c r="M114" i="38"/>
  <c r="Q114" i="38"/>
  <c r="AS114" i="38"/>
  <c r="AH114" i="38"/>
  <c r="AR114" i="38"/>
  <c r="J114" i="38"/>
  <c r="N114" i="38"/>
  <c r="AT114" i="38"/>
  <c r="AC114" i="38"/>
  <c r="P45" i="38"/>
  <c r="O45" i="38"/>
  <c r="N45" i="38"/>
  <c r="M45" i="38"/>
  <c r="L45" i="38"/>
  <c r="K45" i="38"/>
  <c r="J45" i="38"/>
  <c r="P48" i="38"/>
  <c r="O48" i="38"/>
  <c r="N48" i="38"/>
  <c r="M48" i="38"/>
  <c r="L48" i="38"/>
  <c r="K48" i="38"/>
  <c r="J48" i="38"/>
  <c r="AM48" i="38"/>
  <c r="AJ114" i="38" l="1"/>
  <c r="R114" i="38"/>
  <c r="AN113" i="38" l="1"/>
  <c r="D120" i="38"/>
  <c r="AM112" i="38"/>
  <c r="AM45" i="38" l="1"/>
  <c r="Q113" i="38" l="1"/>
  <c r="R113" i="38" s="1"/>
  <c r="N113" i="38"/>
  <c r="M113" i="38"/>
  <c r="P113" i="38"/>
  <c r="AT113" i="38"/>
  <c r="L113" i="38"/>
  <c r="K113" i="38"/>
  <c r="J113" i="38"/>
  <c r="AM113" i="38"/>
  <c r="AR113" i="38" l="1"/>
  <c r="O113" i="38"/>
  <c r="AS113" i="38"/>
  <c r="AU113" i="38"/>
  <c r="AJ113" i="38"/>
  <c r="AC113" i="38"/>
  <c r="D46" i="39" l="1"/>
  <c r="D45" i="39"/>
  <c r="D44" i="39"/>
  <c r="D43" i="39"/>
  <c r="D42" i="39"/>
  <c r="D41" i="39"/>
  <c r="D40" i="39"/>
  <c r="D39" i="39"/>
  <c r="AW45" i="34" l="1"/>
  <c r="AW44" i="34"/>
  <c r="AW42" i="34"/>
  <c r="Q4" i="34"/>
  <c r="Q36" i="34"/>
  <c r="Q37" i="34"/>
  <c r="Q38" i="34"/>
  <c r="Q39" i="34"/>
  <c r="Q40" i="34"/>
  <c r="Q41" i="34"/>
  <c r="Q42" i="34"/>
  <c r="Q43" i="34"/>
  <c r="Q44" i="34"/>
  <c r="Q45" i="34"/>
  <c r="L12" i="38" l="1"/>
  <c r="K12" i="38"/>
  <c r="J12" i="38"/>
  <c r="I12" i="38"/>
  <c r="H12" i="38"/>
  <c r="AM111" i="38" l="1"/>
  <c r="B54" i="32" l="1"/>
  <c r="B56" i="32"/>
  <c r="B53" i="32"/>
  <c r="B49" i="32"/>
  <c r="B41" i="32"/>
  <c r="B42" i="32" s="1"/>
  <c r="B36" i="32"/>
  <c r="B33" i="32"/>
  <c r="B30" i="32"/>
  <c r="B34" i="32" l="1"/>
  <c r="B37" i="32" s="1"/>
  <c r="B43" i="32"/>
  <c r="F29" i="32"/>
  <c r="F32" i="32" s="1"/>
  <c r="B57" i="32"/>
  <c r="S45" i="34"/>
  <c r="S44" i="34"/>
  <c r="S43" i="34"/>
  <c r="S42" i="34"/>
  <c r="S41" i="34"/>
  <c r="S40" i="34"/>
  <c r="S37" i="34"/>
  <c r="S36" i="34"/>
  <c r="N37" i="39"/>
  <c r="AO41" i="34" l="1"/>
  <c r="AA41" i="34"/>
  <c r="AH41" i="34"/>
  <c r="AO45" i="34"/>
  <c r="AA45" i="34"/>
  <c r="AH45" i="34"/>
  <c r="AO36" i="34"/>
  <c r="AH36" i="34"/>
  <c r="AA36" i="34"/>
  <c r="AA42" i="34"/>
  <c r="AH42" i="34"/>
  <c r="AO42" i="34"/>
  <c r="AO37" i="34"/>
  <c r="AA37" i="34"/>
  <c r="AH37" i="34"/>
  <c r="AH43" i="34"/>
  <c r="AA43" i="34"/>
  <c r="AO43" i="34"/>
  <c r="AO44" i="34"/>
  <c r="AH44" i="34"/>
  <c r="AA44" i="34"/>
  <c r="AO40" i="34"/>
  <c r="AH40" i="34"/>
  <c r="AA40" i="34"/>
  <c r="O37" i="39"/>
  <c r="V37" i="39"/>
  <c r="F30" i="32"/>
  <c r="B59" i="32"/>
  <c r="F31" i="32"/>
  <c r="F33" i="32"/>
  <c r="N38" i="39"/>
  <c r="J38" i="39"/>
  <c r="I38" i="39"/>
  <c r="H38" i="39"/>
  <c r="G38" i="39"/>
  <c r="F38" i="39"/>
  <c r="E38" i="39"/>
  <c r="D38" i="39"/>
  <c r="C38" i="39"/>
  <c r="B38" i="39"/>
  <c r="A38" i="39"/>
  <c r="M4" i="39"/>
  <c r="L4" i="39"/>
  <c r="K4" i="39"/>
  <c r="J4" i="39"/>
  <c r="I4" i="39"/>
  <c r="H4" i="39"/>
  <c r="G4" i="39"/>
  <c r="F4" i="39"/>
  <c r="E4" i="39"/>
  <c r="D4" i="39"/>
  <c r="C4" i="39"/>
  <c r="B4" i="39"/>
  <c r="A4" i="39"/>
  <c r="AB4" i="39"/>
  <c r="AA4" i="39"/>
  <c r="U4" i="39"/>
  <c r="T4" i="39"/>
  <c r="F36" i="32" l="1"/>
  <c r="AW36" i="34"/>
  <c r="AW41" i="34"/>
  <c r="AW37" i="34"/>
  <c r="AW40" i="34"/>
  <c r="AM110" i="38"/>
  <c r="AM109" i="38"/>
  <c r="AM108" i="38"/>
  <c r="AM107" i="38"/>
  <c r="AM106" i="38"/>
  <c r="AM105" i="38"/>
  <c r="AM104" i="38"/>
  <c r="AM103" i="38"/>
  <c r="AM102" i="38"/>
  <c r="AM101" i="38"/>
  <c r="AM100" i="38"/>
  <c r="AM99" i="38"/>
  <c r="AM98" i="38"/>
  <c r="AM97" i="38"/>
  <c r="AM96" i="38"/>
  <c r="AM95" i="38"/>
  <c r="AM94" i="38"/>
  <c r="AM93" i="38"/>
  <c r="AM92" i="38"/>
  <c r="AM91" i="38"/>
  <c r="AM90" i="38"/>
  <c r="AM89" i="38"/>
  <c r="AM88" i="38"/>
  <c r="AM87" i="38"/>
  <c r="AM86" i="38"/>
  <c r="AM85" i="38"/>
  <c r="AM84" i="38"/>
  <c r="AM83" i="38"/>
  <c r="AM82" i="38"/>
  <c r="AM81" i="38"/>
  <c r="AM80" i="38"/>
  <c r="AM78" i="38"/>
  <c r="AM77" i="38"/>
  <c r="AM76" i="38"/>
  <c r="AM74" i="38"/>
  <c r="AM73" i="38"/>
  <c r="AM72" i="38"/>
  <c r="AM71" i="38"/>
  <c r="AM70" i="38"/>
  <c r="AM69" i="38"/>
  <c r="AM68" i="38"/>
  <c r="AM66" i="38"/>
  <c r="AM65" i="38"/>
  <c r="AM64" i="38"/>
  <c r="AM63" i="38"/>
  <c r="AM62" i="38"/>
  <c r="AM61" i="38"/>
  <c r="AM59" i="38"/>
  <c r="AM58" i="38"/>
  <c r="AM57" i="38"/>
  <c r="AM55" i="38"/>
  <c r="AM54" i="38"/>
  <c r="AM53" i="38"/>
  <c r="AM52" i="38"/>
  <c r="AM51" i="38"/>
  <c r="AM50" i="38"/>
  <c r="AM49" i="38"/>
  <c r="AM47" i="38"/>
  <c r="AM46" i="38"/>
  <c r="AM44" i="38"/>
  <c r="AM43" i="38"/>
  <c r="AM40" i="38"/>
  <c r="AM39" i="38"/>
  <c r="AM38" i="38"/>
  <c r="AM37" i="38"/>
  <c r="AM36" i="38"/>
  <c r="AM35" i="38"/>
  <c r="AM34" i="38"/>
  <c r="AM33" i="38"/>
  <c r="AM30" i="38"/>
  <c r="AM29" i="38"/>
  <c r="AM28" i="38"/>
  <c r="AM27" i="38"/>
  <c r="AM26" i="38"/>
  <c r="AM25" i="38"/>
  <c r="AM23" i="38"/>
  <c r="AM21" i="38"/>
  <c r="AM19" i="38"/>
  <c r="AM18" i="38"/>
  <c r="AM17" i="38"/>
  <c r="AM16" i="38"/>
  <c r="AM15" i="38"/>
  <c r="AW43" i="34" l="1"/>
  <c r="AU103" i="38"/>
  <c r="AU87" i="38"/>
  <c r="AU76" i="38"/>
  <c r="AU65" i="38"/>
  <c r="AU46" i="38"/>
  <c r="AU37" i="38"/>
  <c r="AT103" i="38"/>
  <c r="AT87" i="38"/>
  <c r="AT76" i="38"/>
  <c r="AT65" i="38"/>
  <c r="AT46" i="38"/>
  <c r="AT37" i="38"/>
  <c r="AP8" i="38"/>
  <c r="AS103" i="38"/>
  <c r="AS87" i="38"/>
  <c r="AS76" i="38"/>
  <c r="AS65" i="38"/>
  <c r="AS46" i="38"/>
  <c r="AS37" i="38"/>
  <c r="AN103" i="38"/>
  <c r="AR103" i="38" s="1"/>
  <c r="AN87" i="38"/>
  <c r="AR87" i="38" s="1"/>
  <c r="AN76" i="38"/>
  <c r="AR76" i="38" s="1"/>
  <c r="AN65" i="38"/>
  <c r="AR65" i="38" s="1"/>
  <c r="AN46" i="38"/>
  <c r="AR46" i="38" s="1"/>
  <c r="AN37" i="38"/>
  <c r="AR37" i="38" s="1"/>
  <c r="AA49" i="34" l="1"/>
  <c r="AB3" i="39" l="1"/>
  <c r="AA3" i="39"/>
  <c r="Z3" i="39"/>
  <c r="Y3" i="39"/>
  <c r="X3" i="39"/>
  <c r="W3" i="39"/>
  <c r="V3" i="39"/>
  <c r="U3" i="39"/>
  <c r="T3" i="39"/>
  <c r="S3" i="39"/>
  <c r="R3" i="39"/>
  <c r="Q3" i="39"/>
  <c r="P3" i="39"/>
  <c r="O3" i="39"/>
  <c r="G1" i="39"/>
  <c r="N3" i="39"/>
  <c r="M3" i="39"/>
  <c r="L3" i="39"/>
  <c r="K3" i="39"/>
  <c r="J3" i="39"/>
  <c r="I3" i="39"/>
  <c r="H3" i="39"/>
  <c r="G3" i="39"/>
  <c r="F3" i="39"/>
  <c r="E3" i="39"/>
  <c r="D3" i="39"/>
  <c r="C3" i="39"/>
  <c r="B3" i="39"/>
  <c r="J2" i="39"/>
  <c r="I2" i="39"/>
  <c r="H2" i="39"/>
  <c r="G2" i="39"/>
  <c r="F2" i="39"/>
  <c r="E2" i="39"/>
  <c r="D2" i="39"/>
  <c r="C2" i="39"/>
  <c r="B2" i="39"/>
  <c r="J1" i="39"/>
  <c r="I1" i="39"/>
  <c r="H1" i="39"/>
  <c r="F1" i="39"/>
  <c r="E1" i="39"/>
  <c r="D1" i="39"/>
  <c r="C1" i="39"/>
  <c r="B1" i="39"/>
  <c r="A3" i="39"/>
  <c r="A2" i="39"/>
  <c r="A1" i="39"/>
  <c r="B32" i="35"/>
  <c r="AJ87" i="38" l="1"/>
  <c r="AJ76" i="38"/>
  <c r="AJ65" i="38"/>
  <c r="AJ46" i="38"/>
  <c r="AJ37" i="38"/>
  <c r="AJ103" i="38"/>
  <c r="AI103" i="38" l="1"/>
  <c r="AH103" i="38"/>
  <c r="AG103" i="38"/>
  <c r="AF103" i="38"/>
  <c r="AE103" i="38"/>
  <c r="AD103" i="38"/>
  <c r="AC103" i="38"/>
  <c r="AI87" i="38"/>
  <c r="AH87" i="38"/>
  <c r="AG87" i="38"/>
  <c r="AF87" i="38"/>
  <c r="AE87" i="38"/>
  <c r="AD87" i="38"/>
  <c r="AC87" i="38"/>
  <c r="AI83" i="38"/>
  <c r="AI76" i="38"/>
  <c r="AH76" i="38"/>
  <c r="AG76" i="38"/>
  <c r="AF76" i="38"/>
  <c r="AE76" i="38"/>
  <c r="AD76" i="38"/>
  <c r="AC76" i="38"/>
  <c r="AI65" i="38"/>
  <c r="AH65" i="38"/>
  <c r="AG65" i="38"/>
  <c r="AF65" i="38"/>
  <c r="AE65" i="38"/>
  <c r="AD65" i="38"/>
  <c r="AC65" i="38"/>
  <c r="AI46" i="38"/>
  <c r="AH46" i="38"/>
  <c r="AG46" i="38"/>
  <c r="AF46" i="38"/>
  <c r="AE46" i="38"/>
  <c r="AD46" i="38"/>
  <c r="AC46" i="38"/>
  <c r="AI37" i="38"/>
  <c r="AH37" i="38"/>
  <c r="AG37" i="38"/>
  <c r="AF37" i="38"/>
  <c r="AE37" i="38"/>
  <c r="AD37" i="38"/>
  <c r="AC37" i="38"/>
  <c r="AI100" i="38" l="1"/>
  <c r="AI107" i="38"/>
  <c r="AI94" i="38" l="1"/>
  <c r="AI50" i="38"/>
  <c r="AI71" i="38" l="1"/>
  <c r="P111" i="38"/>
  <c r="AD89" i="38"/>
  <c r="AH100" i="38" l="1"/>
  <c r="AT100" i="38"/>
  <c r="AS100" i="38"/>
  <c r="AN100" i="38"/>
  <c r="AR100" i="38" s="1"/>
  <c r="O55" i="34"/>
  <c r="G56" i="34"/>
  <c r="N54" i="34"/>
  <c r="F55" i="34"/>
  <c r="F54" i="34"/>
  <c r="H52" i="34"/>
  <c r="Q52" i="34"/>
  <c r="P52" i="34"/>
  <c r="E72" i="34"/>
  <c r="D72" i="34"/>
  <c r="B72" i="34"/>
  <c r="E71" i="34"/>
  <c r="D71" i="34"/>
  <c r="B71" i="34"/>
  <c r="E70" i="34"/>
  <c r="D70" i="34"/>
  <c r="B70" i="34"/>
  <c r="E69" i="34"/>
  <c r="D69" i="34"/>
  <c r="B69" i="34"/>
  <c r="E68" i="34"/>
  <c r="D68" i="34"/>
  <c r="B68" i="34"/>
  <c r="E67" i="34"/>
  <c r="D67" i="34"/>
  <c r="B67" i="34"/>
  <c r="E66" i="34"/>
  <c r="D66" i="34"/>
  <c r="B66" i="34"/>
  <c r="E65" i="34"/>
  <c r="D65" i="34"/>
  <c r="B65" i="34"/>
  <c r="E64" i="34"/>
  <c r="D64" i="34"/>
  <c r="B64" i="34"/>
  <c r="E63" i="34"/>
  <c r="D63" i="34"/>
  <c r="B63" i="34"/>
  <c r="E62" i="34"/>
  <c r="D62" i="34"/>
  <c r="B62" i="34"/>
  <c r="E61" i="34"/>
  <c r="D61" i="34"/>
  <c r="B61" i="34"/>
  <c r="E60" i="34"/>
  <c r="D60" i="34"/>
  <c r="B60" i="34"/>
  <c r="E59" i="34"/>
  <c r="D59" i="34"/>
  <c r="B59" i="34"/>
  <c r="E58" i="34"/>
  <c r="D58" i="34"/>
  <c r="H57" i="34"/>
  <c r="G57" i="34"/>
  <c r="D57" i="34"/>
  <c r="H56" i="34"/>
  <c r="F56" i="34"/>
  <c r="H55" i="34"/>
  <c r="G55" i="34"/>
  <c r="H54" i="34"/>
  <c r="H53" i="34"/>
  <c r="R72" i="34"/>
  <c r="Q72" i="34"/>
  <c r="P72" i="34"/>
  <c r="O72" i="34"/>
  <c r="N72" i="34"/>
  <c r="M72" i="34"/>
  <c r="L72" i="34"/>
  <c r="R71" i="34"/>
  <c r="Q71" i="34"/>
  <c r="P71" i="34"/>
  <c r="O71" i="34"/>
  <c r="N71" i="34"/>
  <c r="M71" i="34"/>
  <c r="L71" i="34"/>
  <c r="R70" i="34"/>
  <c r="Q70" i="34"/>
  <c r="P70" i="34"/>
  <c r="O70" i="34"/>
  <c r="N70" i="34"/>
  <c r="M70" i="34"/>
  <c r="L70" i="34"/>
  <c r="R69" i="34"/>
  <c r="Q69" i="34"/>
  <c r="P69" i="34"/>
  <c r="O69" i="34"/>
  <c r="N69" i="34"/>
  <c r="M69" i="34"/>
  <c r="L69" i="34"/>
  <c r="R68" i="34"/>
  <c r="Q68" i="34"/>
  <c r="P68" i="34"/>
  <c r="O68" i="34"/>
  <c r="N68" i="34"/>
  <c r="M68" i="34"/>
  <c r="L68" i="34"/>
  <c r="R67" i="34"/>
  <c r="Q67" i="34"/>
  <c r="P67" i="34"/>
  <c r="O67" i="34"/>
  <c r="N67" i="34"/>
  <c r="M67" i="34"/>
  <c r="L67" i="34"/>
  <c r="R66" i="34"/>
  <c r="Q66" i="34"/>
  <c r="P66" i="34"/>
  <c r="O66" i="34"/>
  <c r="N66" i="34"/>
  <c r="M66" i="34"/>
  <c r="L66" i="34"/>
  <c r="R65" i="34"/>
  <c r="Q65" i="34"/>
  <c r="P65" i="34"/>
  <c r="O65" i="34"/>
  <c r="N65" i="34"/>
  <c r="M65" i="34"/>
  <c r="L65" i="34"/>
  <c r="R64" i="34"/>
  <c r="Q64" i="34"/>
  <c r="P64" i="34"/>
  <c r="O64" i="34"/>
  <c r="N64" i="34"/>
  <c r="M64" i="34"/>
  <c r="L64" i="34"/>
  <c r="R63" i="34"/>
  <c r="Q63" i="34"/>
  <c r="P63" i="34"/>
  <c r="O63" i="34"/>
  <c r="N63" i="34"/>
  <c r="M63" i="34"/>
  <c r="L63" i="34"/>
  <c r="R62" i="34"/>
  <c r="Q62" i="34"/>
  <c r="P62" i="34"/>
  <c r="O62" i="34"/>
  <c r="N62" i="34"/>
  <c r="M62" i="34"/>
  <c r="L62" i="34"/>
  <c r="R61" i="34"/>
  <c r="Q61" i="34"/>
  <c r="P61" i="34"/>
  <c r="O61" i="34"/>
  <c r="N61" i="34"/>
  <c r="M61" i="34"/>
  <c r="L61" i="34"/>
  <c r="R60" i="34"/>
  <c r="Q60" i="34"/>
  <c r="P60" i="34"/>
  <c r="O60" i="34"/>
  <c r="N60" i="34"/>
  <c r="M60" i="34"/>
  <c r="L60" i="34"/>
  <c r="R59" i="34"/>
  <c r="Q59" i="34"/>
  <c r="P59" i="34"/>
  <c r="O59" i="34"/>
  <c r="N59" i="34"/>
  <c r="M59" i="34"/>
  <c r="L59" i="34"/>
  <c r="R58" i="34"/>
  <c r="Q58" i="34"/>
  <c r="P58" i="34"/>
  <c r="O58" i="34"/>
  <c r="N58" i="34"/>
  <c r="M58" i="34"/>
  <c r="L58" i="34"/>
  <c r="R57" i="34"/>
  <c r="Q57" i="34"/>
  <c r="P57" i="34"/>
  <c r="O57" i="34"/>
  <c r="N57" i="34"/>
  <c r="M57" i="34"/>
  <c r="L57" i="34"/>
  <c r="R56" i="34"/>
  <c r="Q56" i="34"/>
  <c r="P56" i="34"/>
  <c r="O56" i="34"/>
  <c r="N56" i="34"/>
  <c r="M56" i="34"/>
  <c r="L56" i="34"/>
  <c r="R55" i="34"/>
  <c r="Q55" i="34"/>
  <c r="P55" i="34"/>
  <c r="Q54" i="34"/>
  <c r="P54" i="34"/>
  <c r="P53" i="34"/>
  <c r="Q53" i="34" l="1"/>
  <c r="F51" i="34"/>
  <c r="C7" i="32"/>
  <c r="C12" i="32" l="1"/>
  <c r="L10" i="38" l="1"/>
  <c r="K10" i="38"/>
  <c r="J10" i="38"/>
  <c r="I10" i="38"/>
  <c r="H10" i="38"/>
  <c r="AR23" i="34" l="1"/>
  <c r="AF23" i="39" s="1"/>
  <c r="AD23" i="34"/>
  <c r="R23" i="39" s="1"/>
  <c r="AC23" i="34"/>
  <c r="Q23" i="39" s="1"/>
  <c r="AQ23" i="34"/>
  <c r="AE23" i="39" s="1"/>
  <c r="AI15" i="34"/>
  <c r="W15" i="39" s="1"/>
  <c r="AP23" i="34"/>
  <c r="AD23" i="39" s="1"/>
  <c r="AB23" i="34"/>
  <c r="Y15" i="39"/>
  <c r="AJ15" i="34"/>
  <c r="X15" i="39" s="1"/>
  <c r="I17" i="32"/>
  <c r="AK23" i="34" l="1"/>
  <c r="Y23" i="39" s="1"/>
  <c r="AI23" i="34"/>
  <c r="W23" i="39" s="1"/>
  <c r="P23" i="39"/>
  <c r="AJ23" i="34"/>
  <c r="X23" i="39" s="1"/>
  <c r="AI110" i="38"/>
  <c r="AG110" i="38"/>
  <c r="AF110" i="38"/>
  <c r="AE110" i="38"/>
  <c r="AD110" i="38"/>
  <c r="AI109" i="38"/>
  <c r="AG109" i="38"/>
  <c r="AF109" i="38"/>
  <c r="AE109" i="38"/>
  <c r="AD109" i="38"/>
  <c r="AI108" i="38"/>
  <c r="AG108" i="38"/>
  <c r="AF108" i="38"/>
  <c r="AE108" i="38"/>
  <c r="AD108" i="38"/>
  <c r="AG107" i="38"/>
  <c r="AF107" i="38"/>
  <c r="AE107" i="38"/>
  <c r="AD107" i="38"/>
  <c r="AI106" i="38"/>
  <c r="AG106" i="38"/>
  <c r="AF106" i="38"/>
  <c r="AE106" i="38"/>
  <c r="AD106" i="38"/>
  <c r="AI105" i="38"/>
  <c r="AG105" i="38"/>
  <c r="AF105" i="38"/>
  <c r="AE105" i="38"/>
  <c r="AD105" i="38"/>
  <c r="AI104" i="38"/>
  <c r="AI102" i="38"/>
  <c r="AG102" i="38"/>
  <c r="AF102" i="38"/>
  <c r="AE102" i="38"/>
  <c r="AD102" i="38"/>
  <c r="AI101" i="38"/>
  <c r="AG101" i="38"/>
  <c r="AF101" i="38"/>
  <c r="AE101" i="38"/>
  <c r="AD101" i="38"/>
  <c r="AG100" i="38"/>
  <c r="AF100" i="38"/>
  <c r="AE100" i="38"/>
  <c r="AD100" i="38"/>
  <c r="AI99" i="38"/>
  <c r="AG99" i="38"/>
  <c r="AF99" i="38"/>
  <c r="AE99" i="38"/>
  <c r="AD99" i="38"/>
  <c r="AI98" i="38"/>
  <c r="AG98" i="38"/>
  <c r="AF98" i="38"/>
  <c r="AE98" i="38"/>
  <c r="AD98" i="38"/>
  <c r="AI97" i="38"/>
  <c r="AG97" i="38"/>
  <c r="AF97" i="38"/>
  <c r="AE97" i="38"/>
  <c r="AD97" i="38"/>
  <c r="AI96" i="38"/>
  <c r="AG96" i="38"/>
  <c r="AF96" i="38"/>
  <c r="AE96" i="38"/>
  <c r="AD96" i="38"/>
  <c r="AI95" i="38"/>
  <c r="AG95" i="38"/>
  <c r="AF95" i="38"/>
  <c r="AE95" i="38"/>
  <c r="AD95" i="38"/>
  <c r="AG94" i="38"/>
  <c r="AF94" i="38"/>
  <c r="AE94" i="38"/>
  <c r="AD94" i="38"/>
  <c r="AI93" i="38"/>
  <c r="AG93" i="38"/>
  <c r="AF93" i="38"/>
  <c r="AE93" i="38"/>
  <c r="AD93" i="38"/>
  <c r="AI92" i="38"/>
  <c r="AG92" i="38"/>
  <c r="AF92" i="38"/>
  <c r="AE92" i="38"/>
  <c r="AD92" i="38"/>
  <c r="AI91" i="38"/>
  <c r="AG91" i="38"/>
  <c r="AF91" i="38"/>
  <c r="AE91" i="38"/>
  <c r="AD91" i="38"/>
  <c r="AI90" i="38"/>
  <c r="AG90" i="38"/>
  <c r="AF90" i="38"/>
  <c r="AE90" i="38"/>
  <c r="AD90" i="38"/>
  <c r="AI89" i="38"/>
  <c r="AG89" i="38"/>
  <c r="AF89" i="38"/>
  <c r="AE89" i="38"/>
  <c r="AU89" i="38"/>
  <c r="AI88" i="38"/>
  <c r="AG88" i="38"/>
  <c r="AF88" i="38"/>
  <c r="AE88" i="38"/>
  <c r="AD88" i="38"/>
  <c r="AI86" i="38"/>
  <c r="AG86" i="38"/>
  <c r="AF86" i="38"/>
  <c r="AE86" i="38"/>
  <c r="AD86" i="38"/>
  <c r="AI85" i="38"/>
  <c r="AG85" i="38"/>
  <c r="AF85" i="38"/>
  <c r="AE85" i="38"/>
  <c r="AD85" i="38"/>
  <c r="AI84" i="38"/>
  <c r="AG84" i="38"/>
  <c r="AF84" i="38"/>
  <c r="AE84" i="38"/>
  <c r="AD84" i="38"/>
  <c r="AI82" i="38"/>
  <c r="AG82" i="38"/>
  <c r="AF82" i="38"/>
  <c r="AE82" i="38"/>
  <c r="AD82" i="38"/>
  <c r="AI81" i="38"/>
  <c r="AG81" i="38"/>
  <c r="AF81" i="38"/>
  <c r="AE81" i="38"/>
  <c r="AD81" i="38"/>
  <c r="AI80" i="38"/>
  <c r="AG80" i="38"/>
  <c r="AF80" i="38"/>
  <c r="AE80" i="38"/>
  <c r="AD80" i="38"/>
  <c r="AI78" i="38"/>
  <c r="AG78" i="38"/>
  <c r="AF78" i="38"/>
  <c r="AE78" i="38"/>
  <c r="AD78" i="38"/>
  <c r="AI77" i="38"/>
  <c r="AG77" i="38"/>
  <c r="AF77" i="38"/>
  <c r="AE77" i="38"/>
  <c r="AD77" i="38"/>
  <c r="AI74" i="38"/>
  <c r="AG74" i="38"/>
  <c r="AF74" i="38"/>
  <c r="AE74" i="38"/>
  <c r="AD74" i="38"/>
  <c r="AI73" i="38"/>
  <c r="AG73" i="38"/>
  <c r="AF73" i="38"/>
  <c r="AE73" i="38"/>
  <c r="AD73" i="38"/>
  <c r="AI72" i="38"/>
  <c r="AG72" i="38"/>
  <c r="AF72" i="38"/>
  <c r="AE72" i="38"/>
  <c r="AD72" i="38"/>
  <c r="AI70" i="38"/>
  <c r="AG70" i="38"/>
  <c r="AF70" i="38"/>
  <c r="AE70" i="38"/>
  <c r="AD70" i="38"/>
  <c r="AI69" i="38"/>
  <c r="AG69" i="38"/>
  <c r="AF69" i="38"/>
  <c r="AE69" i="38"/>
  <c r="AD69" i="38"/>
  <c r="AI68" i="38"/>
  <c r="AG68" i="38"/>
  <c r="AF68" i="38"/>
  <c r="AE68" i="38"/>
  <c r="AD68" i="38"/>
  <c r="AI66" i="38"/>
  <c r="AG66" i="38"/>
  <c r="AF66" i="38"/>
  <c r="AE66" i="38"/>
  <c r="AD66" i="38"/>
  <c r="AI64" i="38"/>
  <c r="AG64" i="38"/>
  <c r="AF64" i="38"/>
  <c r="AE64" i="38"/>
  <c r="AD64" i="38"/>
  <c r="AI63" i="38"/>
  <c r="AG63" i="38"/>
  <c r="AF63" i="38"/>
  <c r="AE63" i="38"/>
  <c r="AD63" i="38"/>
  <c r="AI62" i="38"/>
  <c r="AG62" i="38"/>
  <c r="AF62" i="38"/>
  <c r="AE62" i="38"/>
  <c r="AD62" i="38"/>
  <c r="AI61" i="38"/>
  <c r="AG61" i="38"/>
  <c r="AF61" i="38"/>
  <c r="AE61" i="38"/>
  <c r="AD61" i="38"/>
  <c r="AI59" i="38"/>
  <c r="AG59" i="38"/>
  <c r="AF59" i="38"/>
  <c r="AE59" i="38"/>
  <c r="AD59" i="38"/>
  <c r="AI58" i="38"/>
  <c r="AG58" i="38"/>
  <c r="AF58" i="38"/>
  <c r="AE58" i="38"/>
  <c r="AD58" i="38"/>
  <c r="AI57" i="38"/>
  <c r="AG57" i="38"/>
  <c r="AF57" i="38"/>
  <c r="AE57" i="38"/>
  <c r="AD57" i="38"/>
  <c r="AI55" i="38"/>
  <c r="AG55" i="38"/>
  <c r="AF55" i="38"/>
  <c r="AE55" i="38"/>
  <c r="AD55" i="38"/>
  <c r="AI54" i="38"/>
  <c r="AG54" i="38"/>
  <c r="AF54" i="38"/>
  <c r="AE54" i="38"/>
  <c r="AD54" i="38"/>
  <c r="AI53" i="38"/>
  <c r="AG53" i="38"/>
  <c r="AF53" i="38"/>
  <c r="AE53" i="38"/>
  <c r="AD53" i="38"/>
  <c r="AI52" i="38"/>
  <c r="AG52" i="38"/>
  <c r="AF52" i="38"/>
  <c r="AE52" i="38"/>
  <c r="AD52" i="38"/>
  <c r="AI51" i="38"/>
  <c r="AG51" i="38"/>
  <c r="AF51" i="38"/>
  <c r="AE51" i="38"/>
  <c r="AD51" i="38"/>
  <c r="AG50" i="38"/>
  <c r="AF50" i="38"/>
  <c r="AE50" i="38"/>
  <c r="AD50" i="38"/>
  <c r="AI49" i="38"/>
  <c r="AG49" i="38"/>
  <c r="AF49" i="38"/>
  <c r="AE49" i="38"/>
  <c r="AD49" i="38"/>
  <c r="AI44" i="38"/>
  <c r="AG44" i="38"/>
  <c r="AF44" i="38"/>
  <c r="AE44" i="38"/>
  <c r="AD44" i="38"/>
  <c r="AI43" i="38"/>
  <c r="AG43" i="38"/>
  <c r="AF43" i="38"/>
  <c r="AE43" i="38"/>
  <c r="AD43" i="38"/>
  <c r="AI40" i="38"/>
  <c r="AG40" i="38"/>
  <c r="AF40" i="38"/>
  <c r="AE40" i="38"/>
  <c r="AD40" i="38"/>
  <c r="AI39" i="38"/>
  <c r="AG39" i="38"/>
  <c r="AF39" i="38"/>
  <c r="AE39" i="38"/>
  <c r="AD39" i="38"/>
  <c r="AI38" i="38"/>
  <c r="AG38" i="38"/>
  <c r="AF38" i="38"/>
  <c r="AE38" i="38"/>
  <c r="AD38" i="38"/>
  <c r="AI36" i="38"/>
  <c r="AG36" i="38"/>
  <c r="AF36" i="38"/>
  <c r="AE36" i="38"/>
  <c r="AD36" i="38"/>
  <c r="AI35" i="38"/>
  <c r="AG35" i="38"/>
  <c r="AF35" i="38"/>
  <c r="AE35" i="38"/>
  <c r="AD35" i="38"/>
  <c r="AI34" i="38"/>
  <c r="AG34" i="38"/>
  <c r="AF34" i="38"/>
  <c r="AE34" i="38"/>
  <c r="AD34" i="38"/>
  <c r="AI33" i="38"/>
  <c r="AG33" i="38"/>
  <c r="AF33" i="38"/>
  <c r="AE33" i="38"/>
  <c r="AD33" i="38"/>
  <c r="AI30" i="38"/>
  <c r="AG30" i="38"/>
  <c r="AF30" i="38"/>
  <c r="AE30" i="38"/>
  <c r="AD30" i="38"/>
  <c r="AI29" i="38"/>
  <c r="AG29" i="38"/>
  <c r="AF29" i="38"/>
  <c r="AE29" i="38"/>
  <c r="AD29" i="38"/>
  <c r="AI28" i="38"/>
  <c r="AG28" i="38"/>
  <c r="AF28" i="38"/>
  <c r="AE28" i="38"/>
  <c r="AD28" i="38"/>
  <c r="AI27" i="38"/>
  <c r="AG27" i="38"/>
  <c r="AF27" i="38"/>
  <c r="AE27" i="38"/>
  <c r="AD27" i="38"/>
  <c r="AI26" i="38"/>
  <c r="AG26" i="38"/>
  <c r="AF26" i="38"/>
  <c r="AE26" i="38"/>
  <c r="AD26" i="38"/>
  <c r="AI25" i="38"/>
  <c r="AG25" i="38"/>
  <c r="AF25" i="38"/>
  <c r="AE25" i="38"/>
  <c r="AD25" i="38"/>
  <c r="AI23" i="38"/>
  <c r="AG23" i="38"/>
  <c r="AF23" i="38"/>
  <c r="AE23" i="38"/>
  <c r="AD23" i="38"/>
  <c r="AI21" i="38"/>
  <c r="AG21" i="38"/>
  <c r="AF21" i="38"/>
  <c r="AE21" i="38"/>
  <c r="AD21" i="38"/>
  <c r="AI19" i="38"/>
  <c r="AG19" i="38"/>
  <c r="AF19" i="38"/>
  <c r="AE19" i="38"/>
  <c r="AD19" i="38"/>
  <c r="AI18" i="38"/>
  <c r="AG18" i="38"/>
  <c r="AF18" i="38"/>
  <c r="AE18" i="38"/>
  <c r="AD18" i="38"/>
  <c r="AI17" i="38"/>
  <c r="AG17" i="38"/>
  <c r="AF17" i="38"/>
  <c r="AE17" i="38"/>
  <c r="AD17" i="38"/>
  <c r="AG16" i="38"/>
  <c r="AF16" i="38"/>
  <c r="AE16" i="38"/>
  <c r="AD16" i="38"/>
  <c r="AU112" i="38" l="1"/>
  <c r="J112" i="38"/>
  <c r="AD47" i="38"/>
  <c r="K112" i="38"/>
  <c r="O112" i="38"/>
  <c r="AE47" i="38"/>
  <c r="L112" i="38"/>
  <c r="AI47" i="38"/>
  <c r="P112" i="38"/>
  <c r="AG47" i="38"/>
  <c r="N112" i="38"/>
  <c r="AF47" i="38"/>
  <c r="M112" i="38"/>
  <c r="AC50" i="38"/>
  <c r="AU50" i="38"/>
  <c r="AC53" i="38"/>
  <c r="AU53" i="38"/>
  <c r="AH54" i="38"/>
  <c r="AT54" i="38"/>
  <c r="AN54" i="38"/>
  <c r="AR54" i="38" s="1"/>
  <c r="AS54" i="38"/>
  <c r="AC58" i="38"/>
  <c r="AU58" i="38"/>
  <c r="AH59" i="38"/>
  <c r="AN59" i="38"/>
  <c r="AR59" i="38" s="1"/>
  <c r="AT59" i="38"/>
  <c r="AS59" i="38"/>
  <c r="AC63" i="38"/>
  <c r="AU63" i="38"/>
  <c r="AH64" i="38"/>
  <c r="AT64" i="38"/>
  <c r="AN64" i="38"/>
  <c r="AR64" i="38" s="1"/>
  <c r="AS64" i="38"/>
  <c r="AC69" i="38"/>
  <c r="AU69" i="38"/>
  <c r="AH70" i="38"/>
  <c r="AT70" i="38"/>
  <c r="AS70" i="38"/>
  <c r="AN70" i="38"/>
  <c r="AR70" i="38" s="1"/>
  <c r="AE71" i="38"/>
  <c r="L111" i="38"/>
  <c r="AC72" i="38"/>
  <c r="AU72" i="38"/>
  <c r="AH73" i="38"/>
  <c r="AT73" i="38"/>
  <c r="AN73" i="38"/>
  <c r="AR73" i="38" s="1"/>
  <c r="AS73" i="38"/>
  <c r="AC78" i="38"/>
  <c r="AU78" i="38"/>
  <c r="AH80" i="38"/>
  <c r="AT80" i="38"/>
  <c r="AS80" i="38"/>
  <c r="AN80" i="38"/>
  <c r="AR80" i="38" s="1"/>
  <c r="AC83" i="38"/>
  <c r="C116" i="38"/>
  <c r="AU83" i="38"/>
  <c r="AG83" i="38"/>
  <c r="AG104" i="38"/>
  <c r="AC86" i="38"/>
  <c r="AU86" i="38"/>
  <c r="AH88" i="38"/>
  <c r="AT88" i="38"/>
  <c r="AS88" i="38"/>
  <c r="AN88" i="38"/>
  <c r="AR88" i="38" s="1"/>
  <c r="AC90" i="38"/>
  <c r="AU90" i="38"/>
  <c r="AH91" i="38"/>
  <c r="AN91" i="38"/>
  <c r="AR91" i="38" s="1"/>
  <c r="AT91" i="38"/>
  <c r="AS91" i="38"/>
  <c r="AC94" i="38"/>
  <c r="AU94" i="38"/>
  <c r="AC97" i="38"/>
  <c r="AU97" i="38"/>
  <c r="AH98" i="38"/>
  <c r="AS98" i="38"/>
  <c r="AN98" i="38"/>
  <c r="AR98" i="38" s="1"/>
  <c r="AT98" i="38"/>
  <c r="AH105" i="38"/>
  <c r="AT105" i="38"/>
  <c r="AS105" i="38"/>
  <c r="AN105" i="38"/>
  <c r="AR105" i="38" s="1"/>
  <c r="AH108" i="38"/>
  <c r="AT108" i="38"/>
  <c r="AS108" i="38"/>
  <c r="AN108" i="38"/>
  <c r="AR108" i="38" s="1"/>
  <c r="AC16" i="38"/>
  <c r="AU16" i="38"/>
  <c r="AC49" i="38"/>
  <c r="AU49" i="38"/>
  <c r="AH50" i="38"/>
  <c r="AN50" i="38"/>
  <c r="AR50" i="38" s="1"/>
  <c r="AT50" i="38"/>
  <c r="AS50" i="38"/>
  <c r="AC52" i="38"/>
  <c r="AU52" i="38"/>
  <c r="AH53" i="38"/>
  <c r="AS53" i="38"/>
  <c r="AN53" i="38"/>
  <c r="AR53" i="38" s="1"/>
  <c r="AT53" i="38"/>
  <c r="AC57" i="38"/>
  <c r="AU57" i="38"/>
  <c r="AH58" i="38"/>
  <c r="AS58" i="38"/>
  <c r="AN58" i="38"/>
  <c r="AR58" i="38" s="1"/>
  <c r="AT58" i="38"/>
  <c r="AC62" i="38"/>
  <c r="AU62" i="38"/>
  <c r="AH63" i="38"/>
  <c r="AS63" i="38"/>
  <c r="AN63" i="38"/>
  <c r="AR63" i="38" s="1"/>
  <c r="AT63" i="38"/>
  <c r="AC68" i="38"/>
  <c r="AU68" i="38"/>
  <c r="AH69" i="38"/>
  <c r="AN69" i="38"/>
  <c r="AR69" i="38" s="1"/>
  <c r="AT69" i="38"/>
  <c r="AS69" i="38"/>
  <c r="AF71" i="38"/>
  <c r="M111" i="38"/>
  <c r="AH72" i="38"/>
  <c r="AS72" i="38"/>
  <c r="AN72" i="38"/>
  <c r="AR72" i="38" s="1"/>
  <c r="AT72" i="38"/>
  <c r="AC77" i="38"/>
  <c r="AU77" i="38"/>
  <c r="AH78" i="38"/>
  <c r="AN78" i="38"/>
  <c r="AR78" i="38" s="1"/>
  <c r="AT78" i="38"/>
  <c r="AS78" i="38"/>
  <c r="AC82" i="38"/>
  <c r="AU82" i="38"/>
  <c r="AD83" i="38"/>
  <c r="AH83" i="38"/>
  <c r="AT83" i="38"/>
  <c r="AN83" i="38"/>
  <c r="AR83" i="38" s="1"/>
  <c r="AS83" i="38"/>
  <c r="AC85" i="38"/>
  <c r="AU85" i="38"/>
  <c r="AH86" i="38"/>
  <c r="AS86" i="38"/>
  <c r="AN86" i="38"/>
  <c r="AR86" i="38" s="1"/>
  <c r="AT86" i="38"/>
  <c r="AH90" i="38"/>
  <c r="AS90" i="38"/>
  <c r="AN90" i="38"/>
  <c r="AR90" i="38" s="1"/>
  <c r="AT90" i="38"/>
  <c r="AC93" i="38"/>
  <c r="AU93" i="38"/>
  <c r="AH94" i="38"/>
  <c r="AS94" i="38"/>
  <c r="AN94" i="38"/>
  <c r="AR94" i="38" s="1"/>
  <c r="AT94" i="38"/>
  <c r="AC96" i="38"/>
  <c r="AU96" i="38"/>
  <c r="AH97" i="38"/>
  <c r="AT97" i="38"/>
  <c r="AN97" i="38"/>
  <c r="AR97" i="38" s="1"/>
  <c r="AS97" i="38"/>
  <c r="AC100" i="38"/>
  <c r="AU100" i="38"/>
  <c r="AC102" i="38"/>
  <c r="AU102" i="38"/>
  <c r="AC107" i="38"/>
  <c r="AU107" i="38"/>
  <c r="AC110" i="38"/>
  <c r="AU110" i="38"/>
  <c r="AC47" i="38"/>
  <c r="AH49" i="38"/>
  <c r="AS49" i="38"/>
  <c r="AN49" i="38"/>
  <c r="AR49" i="38" s="1"/>
  <c r="AT49" i="38"/>
  <c r="AC51" i="38"/>
  <c r="AU51" i="38"/>
  <c r="AH52" i="38"/>
  <c r="AT52" i="38"/>
  <c r="AS52" i="38"/>
  <c r="AN52" i="38"/>
  <c r="AR52" i="38" s="1"/>
  <c r="AC55" i="38"/>
  <c r="AU55" i="38"/>
  <c r="AH57" i="38"/>
  <c r="AT57" i="38"/>
  <c r="AS57" i="38"/>
  <c r="AN57" i="38"/>
  <c r="AR57" i="38" s="1"/>
  <c r="AC61" i="38"/>
  <c r="AU61" i="38"/>
  <c r="AH62" i="38"/>
  <c r="AT62" i="38"/>
  <c r="AS62" i="38"/>
  <c r="AN62" i="38"/>
  <c r="AR62" i="38" s="1"/>
  <c r="AC66" i="38"/>
  <c r="AU66" i="38"/>
  <c r="AH68" i="38"/>
  <c r="AS68" i="38"/>
  <c r="AN68" i="38"/>
  <c r="AR68" i="38" s="1"/>
  <c r="AT68" i="38"/>
  <c r="AC71" i="38"/>
  <c r="AU71" i="38"/>
  <c r="AG71" i="38"/>
  <c r="N111" i="38"/>
  <c r="AC74" i="38"/>
  <c r="AU74" i="38"/>
  <c r="AH77" i="38"/>
  <c r="AS77" i="38"/>
  <c r="AN77" i="38"/>
  <c r="AR77" i="38" s="1"/>
  <c r="AT77" i="38"/>
  <c r="AC81" i="38"/>
  <c r="AU81" i="38"/>
  <c r="AH82" i="38"/>
  <c r="AS82" i="38"/>
  <c r="AN82" i="38"/>
  <c r="AR82" i="38" s="1"/>
  <c r="AT82" i="38"/>
  <c r="AE83" i="38"/>
  <c r="AE104" i="38"/>
  <c r="AC84" i="38"/>
  <c r="AU84" i="38"/>
  <c r="AH85" i="38"/>
  <c r="AT85" i="38"/>
  <c r="AS85" i="38"/>
  <c r="AN85" i="38"/>
  <c r="AR85" i="38" s="1"/>
  <c r="AH89" i="38"/>
  <c r="AT89" i="38"/>
  <c r="AN89" i="38"/>
  <c r="AR89" i="38" s="1"/>
  <c r="AS89" i="38"/>
  <c r="AC92" i="38"/>
  <c r="AU92" i="38"/>
  <c r="AH93" i="38"/>
  <c r="AT93" i="38"/>
  <c r="AS93" i="38"/>
  <c r="AN93" i="38"/>
  <c r="AR93" i="38" s="1"/>
  <c r="AC95" i="38"/>
  <c r="AU95" i="38"/>
  <c r="AH96" i="38"/>
  <c r="AT96" i="38"/>
  <c r="AS96" i="38"/>
  <c r="AN96" i="38"/>
  <c r="AR96" i="38" s="1"/>
  <c r="AC99" i="38"/>
  <c r="AU99" i="38"/>
  <c r="AC101" i="38"/>
  <c r="AU101" i="38"/>
  <c r="AH102" i="38"/>
  <c r="AS102" i="38"/>
  <c r="AN102" i="38"/>
  <c r="AR102" i="38" s="1"/>
  <c r="AT102" i="38"/>
  <c r="AC106" i="38"/>
  <c r="AU106" i="38"/>
  <c r="AH107" i="38"/>
  <c r="AT107" i="38"/>
  <c r="AS107" i="38"/>
  <c r="S9" i="34" s="1"/>
  <c r="AN107" i="38"/>
  <c r="AR107" i="38" s="1"/>
  <c r="AC109" i="38"/>
  <c r="AU109" i="38"/>
  <c r="AH110" i="38"/>
  <c r="AS110" i="38"/>
  <c r="AN110" i="38"/>
  <c r="AR110" i="38" s="1"/>
  <c r="AT110" i="38"/>
  <c r="AH47" i="38"/>
  <c r="AN47" i="38"/>
  <c r="AH51" i="38"/>
  <c r="AT51" i="38"/>
  <c r="AS51" i="38"/>
  <c r="AN51" i="38"/>
  <c r="AR51" i="38" s="1"/>
  <c r="AC54" i="38"/>
  <c r="AU54" i="38"/>
  <c r="AH55" i="38"/>
  <c r="AT55" i="38"/>
  <c r="AS55" i="38"/>
  <c r="AN55" i="38"/>
  <c r="AR55" i="38" s="1"/>
  <c r="AC59" i="38"/>
  <c r="AU59" i="38"/>
  <c r="AH61" i="38"/>
  <c r="AT61" i="38"/>
  <c r="AS61" i="38"/>
  <c r="AN61" i="38"/>
  <c r="AR61" i="38" s="1"/>
  <c r="AC64" i="38"/>
  <c r="AU64" i="38"/>
  <c r="AH66" i="38"/>
  <c r="AT66" i="38"/>
  <c r="AS66" i="38"/>
  <c r="AN66" i="38"/>
  <c r="AR66" i="38" s="1"/>
  <c r="AC70" i="38"/>
  <c r="AU70" i="38"/>
  <c r="AD71" i="38"/>
  <c r="AH71" i="38"/>
  <c r="AN111" i="38"/>
  <c r="AT71" i="38"/>
  <c r="AS71" i="38"/>
  <c r="AN71" i="38"/>
  <c r="AR71" i="38" s="1"/>
  <c r="AC73" i="38"/>
  <c r="AU73" i="38"/>
  <c r="AH74" i="38"/>
  <c r="AT74" i="38"/>
  <c r="AS74" i="38"/>
  <c r="AN74" i="38"/>
  <c r="AR74" i="38" s="1"/>
  <c r="AC80" i="38"/>
  <c r="AU80" i="38"/>
  <c r="AH81" i="38"/>
  <c r="AT81" i="38"/>
  <c r="AN81" i="38"/>
  <c r="AR81" i="38" s="1"/>
  <c r="AS81" i="38"/>
  <c r="AF83" i="38"/>
  <c r="AF104" i="38"/>
  <c r="AH84" i="38"/>
  <c r="AT84" i="38"/>
  <c r="AS84" i="38"/>
  <c r="AN84" i="38"/>
  <c r="AR84" i="38" s="1"/>
  <c r="AC88" i="38"/>
  <c r="AU88" i="38"/>
  <c r="AC91" i="38"/>
  <c r="AU91" i="38"/>
  <c r="AH92" i="38"/>
  <c r="AT92" i="38"/>
  <c r="AS92" i="38"/>
  <c r="AN92" i="38"/>
  <c r="AR92" i="38" s="1"/>
  <c r="AH95" i="38"/>
  <c r="AT95" i="38"/>
  <c r="AN95" i="38"/>
  <c r="AR95" i="38" s="1"/>
  <c r="AS95" i="38"/>
  <c r="AC98" i="38"/>
  <c r="AU98" i="38"/>
  <c r="AH99" i="38"/>
  <c r="AN99" i="38"/>
  <c r="AR99" i="38" s="1"/>
  <c r="AT99" i="38"/>
  <c r="AS99" i="38"/>
  <c r="AH101" i="38"/>
  <c r="AT101" i="38"/>
  <c r="AN101" i="38"/>
  <c r="AR101" i="38" s="1"/>
  <c r="AS101" i="38"/>
  <c r="AC105" i="38"/>
  <c r="AU105" i="38"/>
  <c r="AH106" i="38"/>
  <c r="AS106" i="38"/>
  <c r="AN106" i="38"/>
  <c r="AR106" i="38" s="1"/>
  <c r="AT106" i="38"/>
  <c r="AC108" i="38"/>
  <c r="AU108" i="38"/>
  <c r="AH109" i="38"/>
  <c r="AT109" i="38"/>
  <c r="AN109" i="38"/>
  <c r="AR109" i="38" s="1"/>
  <c r="AS109" i="38"/>
  <c r="AC19" i="38"/>
  <c r="AU19" i="38"/>
  <c r="AH21" i="38"/>
  <c r="AT21" i="38"/>
  <c r="AS21" i="38"/>
  <c r="AN21" i="38"/>
  <c r="AR21" i="38" s="1"/>
  <c r="AC36" i="38"/>
  <c r="AU36" i="38"/>
  <c r="AH38" i="38"/>
  <c r="AS38" i="38"/>
  <c r="AN38" i="38"/>
  <c r="AR38" i="38" s="1"/>
  <c r="AT38" i="38"/>
  <c r="AC30" i="38"/>
  <c r="AU30" i="38"/>
  <c r="AC18" i="38"/>
  <c r="AU18" i="38"/>
  <c r="AH19" i="38"/>
  <c r="AT19" i="38"/>
  <c r="AN19" i="38"/>
  <c r="AR19" i="38" s="1"/>
  <c r="AS19" i="38"/>
  <c r="AC25" i="38"/>
  <c r="AU25" i="38"/>
  <c r="AH26" i="38"/>
  <c r="AT26" i="38"/>
  <c r="AS26" i="38"/>
  <c r="AN26" i="38"/>
  <c r="AR26" i="38" s="1"/>
  <c r="AC29" i="38"/>
  <c r="AU29" i="38"/>
  <c r="AC40" i="38"/>
  <c r="AU40" i="38"/>
  <c r="AC17" i="38"/>
  <c r="AU17" i="38"/>
  <c r="AC23" i="38"/>
  <c r="AU23" i="38"/>
  <c r="AH25" i="38"/>
  <c r="AS25" i="38"/>
  <c r="AN25" i="38"/>
  <c r="AR25" i="38" s="1"/>
  <c r="AT25" i="38"/>
  <c r="AC28" i="38"/>
  <c r="AU28" i="38"/>
  <c r="AH29" i="38"/>
  <c r="AS29" i="38"/>
  <c r="AN29" i="38"/>
  <c r="AR29" i="38" s="1"/>
  <c r="AT29" i="38"/>
  <c r="AC34" i="38"/>
  <c r="AU34" i="38"/>
  <c r="AH35" i="38"/>
  <c r="AS35" i="38"/>
  <c r="AT35" i="38"/>
  <c r="AN35" i="38"/>
  <c r="AR35" i="38" s="1"/>
  <c r="AC39" i="38"/>
  <c r="AU39" i="38"/>
  <c r="AH40" i="38"/>
  <c r="AT40" i="38"/>
  <c r="AN40" i="38"/>
  <c r="AR40" i="38" s="1"/>
  <c r="AS40" i="38"/>
  <c r="AC26" i="38"/>
  <c r="AU26" i="38"/>
  <c r="AH27" i="38"/>
  <c r="AT27" i="38"/>
  <c r="AS27" i="38"/>
  <c r="AN27" i="38"/>
  <c r="AR27" i="38" s="1"/>
  <c r="AH33" i="38"/>
  <c r="AT33" i="38"/>
  <c r="AS33" i="38"/>
  <c r="AN33" i="38"/>
  <c r="AR33" i="38" s="1"/>
  <c r="AC43" i="38"/>
  <c r="AU43" i="38"/>
  <c r="AH44" i="38"/>
  <c r="AS44" i="38"/>
  <c r="AN44" i="38"/>
  <c r="AR44" i="38" s="1"/>
  <c r="AT44" i="38"/>
  <c r="AH30" i="38"/>
  <c r="AT30" i="38"/>
  <c r="AS30" i="38"/>
  <c r="AN30" i="38"/>
  <c r="AR30" i="38" s="1"/>
  <c r="AC35" i="38"/>
  <c r="AU35" i="38"/>
  <c r="AH36" i="38"/>
  <c r="AT36" i="38"/>
  <c r="AN36" i="38"/>
  <c r="AR36" i="38" s="1"/>
  <c r="AS36" i="38"/>
  <c r="AH43" i="38"/>
  <c r="AT43" i="38"/>
  <c r="AS43" i="38"/>
  <c r="AN43" i="38"/>
  <c r="AR43" i="38" s="1"/>
  <c r="AH18" i="38"/>
  <c r="AS18" i="38"/>
  <c r="AT18" i="38"/>
  <c r="AN18" i="38"/>
  <c r="AR18" i="38" s="1"/>
  <c r="AH17" i="38"/>
  <c r="AS17" i="38"/>
  <c r="AN17" i="38"/>
  <c r="AR17" i="38" s="1"/>
  <c r="AT17" i="38"/>
  <c r="AC21" i="38"/>
  <c r="AU21" i="38"/>
  <c r="AH23" i="38"/>
  <c r="AS23" i="38"/>
  <c r="AN23" i="38"/>
  <c r="AR23" i="38" s="1"/>
  <c r="AT23" i="38"/>
  <c r="AC27" i="38"/>
  <c r="AU27" i="38"/>
  <c r="AH28" i="38"/>
  <c r="AS28" i="38"/>
  <c r="AN28" i="38"/>
  <c r="AR28" i="38" s="1"/>
  <c r="AT28" i="38"/>
  <c r="AC33" i="38"/>
  <c r="AU33" i="38"/>
  <c r="AH34" i="38"/>
  <c r="AS34" i="38"/>
  <c r="AN34" i="38"/>
  <c r="AR34" i="38" s="1"/>
  <c r="AT34" i="38"/>
  <c r="AC38" i="38"/>
  <c r="AU38" i="38"/>
  <c r="AH39" i="38"/>
  <c r="AS39" i="38"/>
  <c r="AT39" i="38"/>
  <c r="AN39" i="38"/>
  <c r="AR39" i="38" s="1"/>
  <c r="AC44" i="38"/>
  <c r="AU44" i="38"/>
  <c r="AH16" i="38"/>
  <c r="AN16" i="38"/>
  <c r="AR16" i="38" s="1"/>
  <c r="AT16" i="38"/>
  <c r="AS16" i="38"/>
  <c r="I116" i="38"/>
  <c r="I118" i="38" s="1"/>
  <c r="AI16" i="38"/>
  <c r="AJ89" i="38"/>
  <c r="AC89" i="38"/>
  <c r="Q19" i="38"/>
  <c r="Q26" i="38"/>
  <c r="Q30" i="38"/>
  <c r="Q36" i="38"/>
  <c r="Q43" i="38"/>
  <c r="Q50" i="38"/>
  <c r="Q54" i="38"/>
  <c r="Q59" i="38"/>
  <c r="Q64" i="38"/>
  <c r="Q70" i="38"/>
  <c r="Q74" i="38"/>
  <c r="Q81" i="38"/>
  <c r="Q85" i="38"/>
  <c r="Q90" i="38"/>
  <c r="Q94" i="38"/>
  <c r="Q98" i="38"/>
  <c r="Q102" i="38"/>
  <c r="Q107" i="38"/>
  <c r="Q18" i="38"/>
  <c r="Q25" i="38"/>
  <c r="Q29" i="38"/>
  <c r="Q35" i="38"/>
  <c r="Q40" i="38"/>
  <c r="Q49" i="38"/>
  <c r="Q53" i="38"/>
  <c r="Q58" i="38"/>
  <c r="Q63" i="38"/>
  <c r="Q69" i="38"/>
  <c r="Q73" i="38"/>
  <c r="Q80" i="38"/>
  <c r="Q84" i="38"/>
  <c r="R89" i="38"/>
  <c r="Q93" i="38"/>
  <c r="Q97" i="38"/>
  <c r="Q101" i="38"/>
  <c r="Q106" i="38"/>
  <c r="Q110" i="38"/>
  <c r="Q17" i="38"/>
  <c r="Q23" i="38"/>
  <c r="Q28" i="38"/>
  <c r="Q34" i="38"/>
  <c r="Q39" i="38"/>
  <c r="Q45" i="38" s="1"/>
  <c r="R45" i="38" s="1"/>
  <c r="Q47" i="38"/>
  <c r="Q52" i="38"/>
  <c r="Q57" i="38"/>
  <c r="Q62" i="38"/>
  <c r="Q68" i="38"/>
  <c r="Q72" i="38"/>
  <c r="Q78" i="38"/>
  <c r="Q83" i="38"/>
  <c r="Q88" i="38"/>
  <c r="Q92" i="38"/>
  <c r="Q96" i="38"/>
  <c r="Q100" i="38"/>
  <c r="Q105" i="38"/>
  <c r="Q109" i="38"/>
  <c r="Q16" i="38"/>
  <c r="Q21" i="38"/>
  <c r="Q27" i="38"/>
  <c r="Q33" i="38"/>
  <c r="Q38" i="38"/>
  <c r="Q44" i="38"/>
  <c r="Q51" i="38"/>
  <c r="Q55" i="38"/>
  <c r="Q61" i="38"/>
  <c r="Q66" i="38"/>
  <c r="Q71" i="38"/>
  <c r="Q111" i="38" s="1"/>
  <c r="Q115" i="38" s="1"/>
  <c r="Q77" i="38"/>
  <c r="Q82" i="38"/>
  <c r="Q86" i="38"/>
  <c r="Q91" i="38"/>
  <c r="Q95" i="38"/>
  <c r="Q99" i="38"/>
  <c r="Q104" i="38"/>
  <c r="Q108" i="38"/>
  <c r="D93" i="34"/>
  <c r="M110" i="38"/>
  <c r="M109" i="38"/>
  <c r="M108" i="38"/>
  <c r="M107" i="38"/>
  <c r="M106" i="38"/>
  <c r="M105" i="38"/>
  <c r="M102" i="38"/>
  <c r="M101" i="38"/>
  <c r="M100" i="38"/>
  <c r="M99" i="38"/>
  <c r="M98" i="38"/>
  <c r="M97" i="38"/>
  <c r="M96" i="38"/>
  <c r="M95" i="38"/>
  <c r="M94" i="38"/>
  <c r="M93" i="38"/>
  <c r="M92" i="38"/>
  <c r="M91" i="38"/>
  <c r="M90" i="38"/>
  <c r="M89" i="38"/>
  <c r="M88" i="38"/>
  <c r="M86" i="38"/>
  <c r="M85" i="38"/>
  <c r="M84" i="38"/>
  <c r="M83" i="38"/>
  <c r="M82" i="38"/>
  <c r="M81" i="38"/>
  <c r="M80" i="38"/>
  <c r="M78" i="38"/>
  <c r="M77" i="38"/>
  <c r="M74" i="38"/>
  <c r="M73" i="38"/>
  <c r="M72" i="38"/>
  <c r="M71" i="38"/>
  <c r="M70" i="38"/>
  <c r="M69" i="38"/>
  <c r="M68" i="38"/>
  <c r="M66" i="38"/>
  <c r="M64" i="38"/>
  <c r="M63" i="38"/>
  <c r="M62" i="38"/>
  <c r="M61" i="38"/>
  <c r="M59" i="38"/>
  <c r="M58" i="38"/>
  <c r="M57" i="38"/>
  <c r="M55" i="38"/>
  <c r="M54" i="38"/>
  <c r="M53" i="38"/>
  <c r="M52" i="38"/>
  <c r="M51" i="38"/>
  <c r="M50" i="38"/>
  <c r="M49" i="38"/>
  <c r="M47" i="38"/>
  <c r="M44" i="38"/>
  <c r="M43" i="38"/>
  <c r="M40" i="38"/>
  <c r="M39" i="38"/>
  <c r="M38" i="38"/>
  <c r="M36" i="38"/>
  <c r="M35" i="38"/>
  <c r="M34" i="38"/>
  <c r="M33" i="38"/>
  <c r="M30" i="38"/>
  <c r="M29" i="38"/>
  <c r="M28" i="38"/>
  <c r="M27" i="38"/>
  <c r="M26" i="38"/>
  <c r="S38" i="34" s="1"/>
  <c r="Z38" i="34" s="1"/>
  <c r="M25" i="38"/>
  <c r="M23" i="38"/>
  <c r="S39" i="34" s="1"/>
  <c r="M21" i="38"/>
  <c r="M19" i="38"/>
  <c r="M18" i="38"/>
  <c r="M17" i="38"/>
  <c r="M16" i="38"/>
  <c r="K110" i="38"/>
  <c r="K109" i="38"/>
  <c r="K108" i="38"/>
  <c r="K107" i="38"/>
  <c r="K106" i="38"/>
  <c r="K105" i="38"/>
  <c r="K104" i="38"/>
  <c r="K102" i="38"/>
  <c r="K101" i="38"/>
  <c r="K100" i="38"/>
  <c r="K99" i="38"/>
  <c r="K98" i="38"/>
  <c r="K97" i="38"/>
  <c r="K96" i="38"/>
  <c r="K95" i="38"/>
  <c r="K94" i="38"/>
  <c r="K93" i="38"/>
  <c r="K92" i="38"/>
  <c r="K91" i="38"/>
  <c r="K90" i="38"/>
  <c r="K89" i="38"/>
  <c r="K88" i="38"/>
  <c r="K86" i="38"/>
  <c r="K85" i="38"/>
  <c r="K84" i="38"/>
  <c r="K83" i="38"/>
  <c r="K82" i="38"/>
  <c r="K81" i="38"/>
  <c r="K80" i="38"/>
  <c r="K78" i="38"/>
  <c r="K77" i="38"/>
  <c r="K74" i="38"/>
  <c r="K73" i="38"/>
  <c r="K72" i="38"/>
  <c r="K71" i="38"/>
  <c r="K70" i="38"/>
  <c r="K69" i="38"/>
  <c r="K68" i="38"/>
  <c r="K66" i="38"/>
  <c r="K64" i="38"/>
  <c r="K63" i="38"/>
  <c r="K62" i="38"/>
  <c r="K61" i="38"/>
  <c r="K59" i="38"/>
  <c r="K58" i="38"/>
  <c r="K57" i="38"/>
  <c r="K55" i="38"/>
  <c r="K54" i="38"/>
  <c r="K53" i="38"/>
  <c r="K52" i="38"/>
  <c r="K51" i="38"/>
  <c r="K50" i="38"/>
  <c r="K49" i="38"/>
  <c r="K47" i="38"/>
  <c r="K44" i="38"/>
  <c r="K43" i="38"/>
  <c r="K40" i="38"/>
  <c r="K39" i="38"/>
  <c r="K38" i="38"/>
  <c r="K36" i="38"/>
  <c r="K35" i="38"/>
  <c r="K34" i="38"/>
  <c r="K33" i="38"/>
  <c r="K30" i="38"/>
  <c r="K29" i="38"/>
  <c r="K28" i="38"/>
  <c r="K27" i="38"/>
  <c r="K26" i="38"/>
  <c r="S11" i="34" s="1"/>
  <c r="K25" i="38"/>
  <c r="K23" i="38"/>
  <c r="K21" i="38"/>
  <c r="K19" i="38"/>
  <c r="K18" i="38"/>
  <c r="K17" i="38"/>
  <c r="K16" i="38"/>
  <c r="P110" i="38"/>
  <c r="O110" i="38"/>
  <c r="N110" i="38"/>
  <c r="L110" i="38"/>
  <c r="J110" i="38"/>
  <c r="P109" i="38"/>
  <c r="O109" i="38"/>
  <c r="N109" i="38"/>
  <c r="L109" i="38"/>
  <c r="J109" i="38"/>
  <c r="P108" i="38"/>
  <c r="O108" i="38"/>
  <c r="N108" i="38"/>
  <c r="L108" i="38"/>
  <c r="J108" i="38"/>
  <c r="P107" i="38"/>
  <c r="S8" i="34" s="1"/>
  <c r="O107" i="38"/>
  <c r="S10" i="34" s="1"/>
  <c r="N107" i="38"/>
  <c r="L107" i="38"/>
  <c r="J107" i="38"/>
  <c r="P106" i="38"/>
  <c r="O106" i="38"/>
  <c r="N106" i="38"/>
  <c r="L106" i="38"/>
  <c r="J106" i="38"/>
  <c r="P105" i="38"/>
  <c r="O105" i="38"/>
  <c r="N105" i="38"/>
  <c r="L105" i="38"/>
  <c r="J105" i="38"/>
  <c r="P104" i="38"/>
  <c r="O104" i="38"/>
  <c r="N104" i="38"/>
  <c r="L104" i="38"/>
  <c r="J104" i="38"/>
  <c r="P102" i="38"/>
  <c r="O102" i="38"/>
  <c r="N102" i="38"/>
  <c r="L102" i="38"/>
  <c r="J102" i="38"/>
  <c r="P101" i="38"/>
  <c r="O101" i="38"/>
  <c r="N101" i="38"/>
  <c r="L101" i="38"/>
  <c r="J101" i="38"/>
  <c r="P100" i="38"/>
  <c r="S14" i="34" s="1"/>
  <c r="O100" i="38"/>
  <c r="N100" i="38"/>
  <c r="L100" i="38"/>
  <c r="J100" i="38"/>
  <c r="P99" i="38"/>
  <c r="O99" i="38"/>
  <c r="N99" i="38"/>
  <c r="L99" i="38"/>
  <c r="J99" i="38"/>
  <c r="P98" i="38"/>
  <c r="O98" i="38"/>
  <c r="S17" i="34" s="1"/>
  <c r="N98" i="38"/>
  <c r="L98" i="38"/>
  <c r="J98" i="38"/>
  <c r="P97" i="38"/>
  <c r="O97" i="38"/>
  <c r="N97" i="38"/>
  <c r="L97" i="38"/>
  <c r="J97" i="38"/>
  <c r="P96" i="38"/>
  <c r="O96" i="38"/>
  <c r="N96" i="38"/>
  <c r="L96" i="38"/>
  <c r="J96" i="38"/>
  <c r="P95" i="38"/>
  <c r="O95" i="38"/>
  <c r="N95" i="38"/>
  <c r="L95" i="38"/>
  <c r="J95" i="38"/>
  <c r="P94" i="38"/>
  <c r="O94" i="38"/>
  <c r="N94" i="38"/>
  <c r="L94" i="38"/>
  <c r="J94" i="38"/>
  <c r="P93" i="38"/>
  <c r="O93" i="38"/>
  <c r="N93" i="38"/>
  <c r="L93" i="38"/>
  <c r="J93" i="38"/>
  <c r="P92" i="38"/>
  <c r="O92" i="38"/>
  <c r="N92" i="38"/>
  <c r="L92" i="38"/>
  <c r="J92" i="38"/>
  <c r="P91" i="38"/>
  <c r="O91" i="38"/>
  <c r="N91" i="38"/>
  <c r="L91" i="38"/>
  <c r="J91" i="38"/>
  <c r="P90" i="38"/>
  <c r="O90" i="38"/>
  <c r="N90" i="38"/>
  <c r="L90" i="38"/>
  <c r="J90" i="38"/>
  <c r="P89" i="38"/>
  <c r="O89" i="38"/>
  <c r="N89" i="38"/>
  <c r="L89" i="38"/>
  <c r="J89" i="38"/>
  <c r="P88" i="38"/>
  <c r="O88" i="38"/>
  <c r="N88" i="38"/>
  <c r="L88" i="38"/>
  <c r="J88" i="38"/>
  <c r="P86" i="38"/>
  <c r="O86" i="38"/>
  <c r="N86" i="38"/>
  <c r="L86" i="38"/>
  <c r="J86" i="38"/>
  <c r="P85" i="38"/>
  <c r="O85" i="38"/>
  <c r="N85" i="38"/>
  <c r="L85" i="38"/>
  <c r="J85" i="38"/>
  <c r="P84" i="38"/>
  <c r="O84" i="38"/>
  <c r="N84" i="38"/>
  <c r="L84" i="38"/>
  <c r="J84" i="38"/>
  <c r="P83" i="38"/>
  <c r="O83" i="38"/>
  <c r="N83" i="38"/>
  <c r="L83" i="38"/>
  <c r="J83" i="38"/>
  <c r="P82" i="38"/>
  <c r="O82" i="38"/>
  <c r="N82" i="38"/>
  <c r="L82" i="38"/>
  <c r="J82" i="38"/>
  <c r="P81" i="38"/>
  <c r="O81" i="38"/>
  <c r="N81" i="38"/>
  <c r="L81" i="38"/>
  <c r="J81" i="38"/>
  <c r="P80" i="38"/>
  <c r="O80" i="38"/>
  <c r="N80" i="38"/>
  <c r="L80" i="38"/>
  <c r="J80" i="38"/>
  <c r="P78" i="38"/>
  <c r="O78" i="38"/>
  <c r="N78" i="38"/>
  <c r="L78" i="38"/>
  <c r="S20" i="34" s="1"/>
  <c r="J78" i="38"/>
  <c r="P77" i="38"/>
  <c r="O77" i="38"/>
  <c r="N77" i="38"/>
  <c r="L77" i="38"/>
  <c r="J77" i="38"/>
  <c r="P74" i="38"/>
  <c r="O74" i="38"/>
  <c r="N74" i="38"/>
  <c r="L74" i="38"/>
  <c r="J74" i="38"/>
  <c r="P73" i="38"/>
  <c r="O73" i="38"/>
  <c r="N73" i="38"/>
  <c r="L73" i="38"/>
  <c r="J73" i="38"/>
  <c r="P72" i="38"/>
  <c r="O72" i="38"/>
  <c r="N72" i="38"/>
  <c r="L72" i="38"/>
  <c r="J72" i="38"/>
  <c r="P71" i="38"/>
  <c r="O71" i="38"/>
  <c r="N71" i="38"/>
  <c r="L71" i="38"/>
  <c r="J71" i="38"/>
  <c r="P70" i="38"/>
  <c r="O70" i="38"/>
  <c r="N70" i="38"/>
  <c r="L70" i="38"/>
  <c r="J70" i="38"/>
  <c r="P69" i="38"/>
  <c r="O69" i="38"/>
  <c r="N69" i="38"/>
  <c r="L69" i="38"/>
  <c r="J69" i="38"/>
  <c r="P68" i="38"/>
  <c r="O68" i="38"/>
  <c r="N68" i="38"/>
  <c r="L68" i="38"/>
  <c r="S12" i="34" s="1"/>
  <c r="J68" i="38"/>
  <c r="P66" i="38"/>
  <c r="O66" i="38"/>
  <c r="N66" i="38"/>
  <c r="L66" i="38"/>
  <c r="J66" i="38"/>
  <c r="P64" i="38"/>
  <c r="O64" i="38"/>
  <c r="N64" i="38"/>
  <c r="L64" i="38"/>
  <c r="J64" i="38"/>
  <c r="P63" i="38"/>
  <c r="O63" i="38"/>
  <c r="N63" i="38"/>
  <c r="L63" i="38"/>
  <c r="J63" i="38"/>
  <c r="P62" i="38"/>
  <c r="O62" i="38"/>
  <c r="N62" i="38"/>
  <c r="L62" i="38"/>
  <c r="J62" i="38"/>
  <c r="P61" i="38"/>
  <c r="S16" i="34" s="1"/>
  <c r="O61" i="38"/>
  <c r="N61" i="38"/>
  <c r="L61" i="38"/>
  <c r="J61" i="38"/>
  <c r="P59" i="38"/>
  <c r="O59" i="38"/>
  <c r="N59" i="38"/>
  <c r="L59" i="38"/>
  <c r="J59" i="38"/>
  <c r="P58" i="38"/>
  <c r="O58" i="38"/>
  <c r="N58" i="38"/>
  <c r="L58" i="38"/>
  <c r="J58" i="38"/>
  <c r="P57" i="38"/>
  <c r="O57" i="38"/>
  <c r="N57" i="38"/>
  <c r="L57" i="38"/>
  <c r="J57" i="38"/>
  <c r="P55" i="38"/>
  <c r="O55" i="38"/>
  <c r="N55" i="38"/>
  <c r="L55" i="38"/>
  <c r="J55" i="38"/>
  <c r="P54" i="38"/>
  <c r="O54" i="38"/>
  <c r="N54" i="38"/>
  <c r="L54" i="38"/>
  <c r="J54" i="38"/>
  <c r="P53" i="38"/>
  <c r="O53" i="38"/>
  <c r="N53" i="38"/>
  <c r="L53" i="38"/>
  <c r="J53" i="38"/>
  <c r="P52" i="38"/>
  <c r="O52" i="38"/>
  <c r="N52" i="38"/>
  <c r="L52" i="38"/>
  <c r="J52" i="38"/>
  <c r="P51" i="38"/>
  <c r="O51" i="38"/>
  <c r="N51" i="38"/>
  <c r="L51" i="38"/>
  <c r="J51" i="38"/>
  <c r="P50" i="38"/>
  <c r="O50" i="38"/>
  <c r="N50" i="38"/>
  <c r="L50" i="38"/>
  <c r="J50" i="38"/>
  <c r="P49" i="38"/>
  <c r="O49" i="38"/>
  <c r="N49" i="38"/>
  <c r="L49" i="38"/>
  <c r="J49" i="38"/>
  <c r="P47" i="38"/>
  <c r="O47" i="38"/>
  <c r="N47" i="38"/>
  <c r="L47" i="38"/>
  <c r="S21" i="34" s="1"/>
  <c r="J47" i="38"/>
  <c r="P44" i="38"/>
  <c r="O44" i="38"/>
  <c r="N44" i="38"/>
  <c r="L44" i="38"/>
  <c r="J44" i="38"/>
  <c r="P43" i="38"/>
  <c r="O43" i="38"/>
  <c r="N43" i="38"/>
  <c r="L43" i="38"/>
  <c r="J43" i="38"/>
  <c r="P40" i="38"/>
  <c r="O40" i="38"/>
  <c r="N40" i="38"/>
  <c r="L40" i="38"/>
  <c r="J40" i="38"/>
  <c r="P39" i="38"/>
  <c r="O39" i="38"/>
  <c r="N39" i="38"/>
  <c r="L39" i="38"/>
  <c r="J39" i="38"/>
  <c r="S19" i="34" s="1"/>
  <c r="P38" i="38"/>
  <c r="O38" i="38"/>
  <c r="N38" i="38"/>
  <c r="L38" i="38"/>
  <c r="J38" i="38"/>
  <c r="P36" i="38"/>
  <c r="O36" i="38"/>
  <c r="N36" i="38"/>
  <c r="L36" i="38"/>
  <c r="J36" i="38"/>
  <c r="P35" i="38"/>
  <c r="O35" i="38"/>
  <c r="N35" i="38"/>
  <c r="L35" i="38"/>
  <c r="J35" i="38"/>
  <c r="P34" i="38"/>
  <c r="O34" i="38"/>
  <c r="N34" i="38"/>
  <c r="L34" i="38"/>
  <c r="J34" i="38"/>
  <c r="P33" i="38"/>
  <c r="O33" i="38"/>
  <c r="N33" i="38"/>
  <c r="L33" i="38"/>
  <c r="J33" i="38"/>
  <c r="P30" i="38"/>
  <c r="O30" i="38"/>
  <c r="N30" i="38"/>
  <c r="L30" i="38"/>
  <c r="J30" i="38"/>
  <c r="P29" i="38"/>
  <c r="O29" i="38"/>
  <c r="N29" i="38"/>
  <c r="L29" i="38"/>
  <c r="J29" i="38"/>
  <c r="P28" i="38"/>
  <c r="O28" i="38"/>
  <c r="N28" i="38"/>
  <c r="L28" i="38"/>
  <c r="J28" i="38"/>
  <c r="P27" i="38"/>
  <c r="O27" i="38"/>
  <c r="N27" i="38"/>
  <c r="L27" i="38"/>
  <c r="J27" i="38"/>
  <c r="P26" i="38"/>
  <c r="O26" i="38"/>
  <c r="N26" i="38"/>
  <c r="L26" i="38"/>
  <c r="J26" i="38"/>
  <c r="P25" i="38"/>
  <c r="O25" i="38"/>
  <c r="N25" i="38"/>
  <c r="L25" i="38"/>
  <c r="J25" i="38"/>
  <c r="P23" i="38"/>
  <c r="O23" i="38"/>
  <c r="N23" i="38"/>
  <c r="L23" i="38"/>
  <c r="J23" i="38"/>
  <c r="P21" i="38"/>
  <c r="O21" i="38"/>
  <c r="N21" i="38"/>
  <c r="L21" i="38"/>
  <c r="J21" i="38"/>
  <c r="S7" i="34" s="1"/>
  <c r="P19" i="38"/>
  <c r="O19" i="38"/>
  <c r="N19" i="38"/>
  <c r="L19" i="38"/>
  <c r="J19" i="38"/>
  <c r="P18" i="38"/>
  <c r="O18" i="38"/>
  <c r="N18" i="38"/>
  <c r="L18" i="38"/>
  <c r="J18" i="38"/>
  <c r="P17" i="38"/>
  <c r="O17" i="38"/>
  <c r="N17" i="38"/>
  <c r="L17" i="38"/>
  <c r="J17" i="38"/>
  <c r="P16" i="38"/>
  <c r="O16" i="38"/>
  <c r="N16" i="38"/>
  <c r="L16" i="38"/>
  <c r="S26" i="34" s="1"/>
  <c r="J16" i="38"/>
  <c r="L13" i="38"/>
  <c r="K13" i="38"/>
  <c r="J13" i="38"/>
  <c r="I13" i="38"/>
  <c r="H13" i="38"/>
  <c r="L11" i="38"/>
  <c r="K11" i="38"/>
  <c r="J11" i="38"/>
  <c r="I11" i="38"/>
  <c r="H11" i="38"/>
  <c r="L9" i="38"/>
  <c r="K9" i="38"/>
  <c r="J9" i="38"/>
  <c r="I9" i="38"/>
  <c r="H9" i="38"/>
  <c r="L8" i="38"/>
  <c r="K8" i="38"/>
  <c r="J8" i="38"/>
  <c r="I8" i="38"/>
  <c r="H8" i="38"/>
  <c r="L7" i="38"/>
  <c r="K7" i="38"/>
  <c r="J7" i="38"/>
  <c r="I7" i="38"/>
  <c r="H7" i="38"/>
  <c r="K6" i="38"/>
  <c r="J6" i="38"/>
  <c r="I6" i="38"/>
  <c r="H6" i="38"/>
  <c r="L5" i="38"/>
  <c r="K5" i="38"/>
  <c r="J5" i="38"/>
  <c r="I5" i="38"/>
  <c r="H5" i="38"/>
  <c r="K4" i="38"/>
  <c r="J4" i="38"/>
  <c r="I4" i="38"/>
  <c r="H4" i="38"/>
  <c r="L3" i="38"/>
  <c r="K3" i="38"/>
  <c r="R13" i="39" s="1"/>
  <c r="J3" i="38"/>
  <c r="I3" i="38"/>
  <c r="T13" i="39" s="1"/>
  <c r="H3" i="38"/>
  <c r="AQ11" i="34" l="1"/>
  <c r="AE11" i="39" s="1"/>
  <c r="AC11" i="34"/>
  <c r="S25" i="34"/>
  <c r="Z19" i="34"/>
  <c r="AA19" i="34" s="1"/>
  <c r="N19" i="39"/>
  <c r="AO19" i="34"/>
  <c r="AC19" i="39" s="1"/>
  <c r="AB10" i="34"/>
  <c r="P10" i="39" s="1"/>
  <c r="AP10" i="34"/>
  <c r="AD10" i="39" s="1"/>
  <c r="AP19" i="34"/>
  <c r="AD19" i="39" s="1"/>
  <c r="AB19" i="34"/>
  <c r="P19" i="39" s="1"/>
  <c r="AB25" i="34"/>
  <c r="P25" i="39" s="1"/>
  <c r="AP25" i="34"/>
  <c r="AD25" i="39" s="1"/>
  <c r="AC19" i="34"/>
  <c r="AQ19" i="34"/>
  <c r="AE19" i="39" s="1"/>
  <c r="AQ25" i="34"/>
  <c r="AE25" i="39" s="1"/>
  <c r="AC25" i="34"/>
  <c r="AA11" i="34"/>
  <c r="O11" i="39" s="1"/>
  <c r="Z11" i="34"/>
  <c r="AO11" i="34" s="1"/>
  <c r="AC11" i="39" s="1"/>
  <c r="N11" i="39"/>
  <c r="AH11" i="34"/>
  <c r="V11" i="39" s="1"/>
  <c r="AB11" i="34"/>
  <c r="AI11" i="34" s="1"/>
  <c r="W11" i="39" s="1"/>
  <c r="AP11" i="34"/>
  <c r="AD11" i="39" s="1"/>
  <c r="Z7" i="34"/>
  <c r="AA7" i="34" s="1"/>
  <c r="N7" i="39"/>
  <c r="AP7" i="34"/>
  <c r="AD7" i="39" s="1"/>
  <c r="AB7" i="34"/>
  <c r="P7" i="39" s="1"/>
  <c r="AB9" i="34"/>
  <c r="AP9" i="34"/>
  <c r="AD9" i="39" s="1"/>
  <c r="AQ7" i="34"/>
  <c r="AE7" i="39" s="1"/>
  <c r="AC7" i="34"/>
  <c r="Q7" i="39" s="1"/>
  <c r="AD6" i="34"/>
  <c r="AR6" i="34"/>
  <c r="AQ38" i="34"/>
  <c r="AC38" i="34"/>
  <c r="AJ38" i="34" s="1"/>
  <c r="Z26" i="34"/>
  <c r="AA26" i="34" s="1"/>
  <c r="N26" i="39"/>
  <c r="AC21" i="34"/>
  <c r="Q21" i="39" s="1"/>
  <c r="AQ26" i="34"/>
  <c r="AE26" i="39" s="1"/>
  <c r="AQ21" i="34"/>
  <c r="AE21" i="39" s="1"/>
  <c r="Y26" i="39"/>
  <c r="R26" i="39"/>
  <c r="R21" i="39"/>
  <c r="AC26" i="34"/>
  <c r="Q26" i="39" s="1"/>
  <c r="Y21" i="39"/>
  <c r="AP20" i="34"/>
  <c r="AD20" i="39" s="1"/>
  <c r="AP26" i="34"/>
  <c r="AD26" i="39" s="1"/>
  <c r="AB20" i="34"/>
  <c r="P20" i="39" s="1"/>
  <c r="AB21" i="34"/>
  <c r="AP21" i="34"/>
  <c r="AD21" i="39" s="1"/>
  <c r="AB26" i="34"/>
  <c r="AA20" i="34"/>
  <c r="N20" i="39"/>
  <c r="Z20" i="34"/>
  <c r="AO20" i="34" s="1"/>
  <c r="AC20" i="39" s="1"/>
  <c r="AA21" i="34"/>
  <c r="Z21" i="34"/>
  <c r="AO21" i="34" s="1"/>
  <c r="AC21" i="39" s="1"/>
  <c r="N21" i="39"/>
  <c r="AB38" i="34"/>
  <c r="AP38" i="34"/>
  <c r="AB17" i="34"/>
  <c r="P17" i="39" s="1"/>
  <c r="AP17" i="34"/>
  <c r="AD17" i="39" s="1"/>
  <c r="Z17" i="34"/>
  <c r="AO17" i="34" s="1"/>
  <c r="AC17" i="39" s="1"/>
  <c r="N17" i="39"/>
  <c r="Z14" i="34"/>
  <c r="AA14" i="34"/>
  <c r="N14" i="39"/>
  <c r="AO14" i="34"/>
  <c r="AC14" i="39" s="1"/>
  <c r="AH14" i="34"/>
  <c r="V14" i="39" s="1"/>
  <c r="Z16" i="34"/>
  <c r="AA16" i="34" s="1"/>
  <c r="N16" i="39"/>
  <c r="AO16" i="34"/>
  <c r="AC16" i="39" s="1"/>
  <c r="S13" i="34"/>
  <c r="AO13" i="34" s="1"/>
  <c r="AC13" i="39" s="1"/>
  <c r="Z8" i="34"/>
  <c r="AO8" i="34" s="1"/>
  <c r="AC8" i="39" s="1"/>
  <c r="AA8" i="34"/>
  <c r="N8" i="39"/>
  <c r="S6" i="34"/>
  <c r="N6" i="39" s="1"/>
  <c r="AT6" i="34"/>
  <c r="AF6" i="34"/>
  <c r="T6" i="39" s="1"/>
  <c r="AP6" i="34"/>
  <c r="AD6" i="39" s="1"/>
  <c r="AB6" i="34"/>
  <c r="AB5" i="34"/>
  <c r="AP5" i="34"/>
  <c r="AD5" i="39" s="1"/>
  <c r="AA25" i="34"/>
  <c r="AA38" i="34"/>
  <c r="AO38" i="34"/>
  <c r="AA12" i="34"/>
  <c r="AH12" i="34"/>
  <c r="V12" i="39" s="1"/>
  <c r="AO12" i="34"/>
  <c r="AC12" i="39" s="1"/>
  <c r="AH39" i="34"/>
  <c r="AA39" i="34"/>
  <c r="AO39" i="34"/>
  <c r="Q13" i="39"/>
  <c r="X13" i="39"/>
  <c r="P12" i="39"/>
  <c r="W12" i="39"/>
  <c r="Z12" i="34"/>
  <c r="N12" i="39"/>
  <c r="P13" i="39"/>
  <c r="Z9" i="34"/>
  <c r="AA9" i="34" s="1"/>
  <c r="N9" i="39"/>
  <c r="Z10" i="34"/>
  <c r="AO10" i="34" s="1"/>
  <c r="AC10" i="39" s="1"/>
  <c r="N10" i="39"/>
  <c r="Z25" i="34"/>
  <c r="AO25" i="34" s="1"/>
  <c r="AC25" i="39" s="1"/>
  <c r="N25" i="39"/>
  <c r="S4" i="34"/>
  <c r="AT47" i="38"/>
  <c r="AT48" i="38"/>
  <c r="AS47" i="38"/>
  <c r="AS48" i="38"/>
  <c r="AR47" i="38"/>
  <c r="AN48" i="38"/>
  <c r="AR48" i="38" s="1"/>
  <c r="K111" i="38"/>
  <c r="K115" i="38"/>
  <c r="AD104" i="38"/>
  <c r="D116" i="38"/>
  <c r="AU47" i="38"/>
  <c r="AU48" i="38"/>
  <c r="Q112" i="38"/>
  <c r="R112" i="38" s="1"/>
  <c r="Q48" i="38"/>
  <c r="R48" i="38" s="1"/>
  <c r="AU115" i="38"/>
  <c r="J115" i="38"/>
  <c r="AN112" i="38"/>
  <c r="AR112" i="38" s="1"/>
  <c r="AS112" i="38"/>
  <c r="AT112" i="38"/>
  <c r="M104" i="38"/>
  <c r="AU111" i="38"/>
  <c r="J111" i="38"/>
  <c r="AC111" i="38"/>
  <c r="AT111" i="38"/>
  <c r="AS111" i="38"/>
  <c r="AR111" i="38"/>
  <c r="O111" i="38"/>
  <c r="AT104" i="38"/>
  <c r="AS104" i="38"/>
  <c r="AN104" i="38"/>
  <c r="AR104" i="38" s="1"/>
  <c r="AH104" i="38"/>
  <c r="AU104" i="38"/>
  <c r="AC104" i="38"/>
  <c r="R111" i="38"/>
  <c r="AJ111" i="38"/>
  <c r="R95" i="38"/>
  <c r="AJ95" i="38"/>
  <c r="R77" i="38"/>
  <c r="AJ77" i="38"/>
  <c r="R55" i="38"/>
  <c r="AJ55" i="38"/>
  <c r="R33" i="38"/>
  <c r="AJ33" i="38"/>
  <c r="R109" i="38"/>
  <c r="AJ109" i="38"/>
  <c r="R92" i="38"/>
  <c r="AJ92" i="38"/>
  <c r="R72" i="38"/>
  <c r="AJ72" i="38"/>
  <c r="R52" i="38"/>
  <c r="AJ52" i="38"/>
  <c r="R28" i="38"/>
  <c r="AJ28" i="38"/>
  <c r="R106" i="38"/>
  <c r="AJ106" i="38"/>
  <c r="R69" i="38"/>
  <c r="AJ69" i="38"/>
  <c r="R49" i="38"/>
  <c r="AJ49" i="38"/>
  <c r="R25" i="38"/>
  <c r="AJ25" i="38"/>
  <c r="R98" i="38"/>
  <c r="AJ98" i="38"/>
  <c r="R81" i="38"/>
  <c r="AJ81" i="38"/>
  <c r="R59" i="38"/>
  <c r="AJ59" i="38"/>
  <c r="R36" i="38"/>
  <c r="AJ36" i="38"/>
  <c r="R108" i="38"/>
  <c r="AJ108" i="38"/>
  <c r="R91" i="38"/>
  <c r="AJ91" i="38"/>
  <c r="R71" i="38"/>
  <c r="AJ71" i="38"/>
  <c r="R51" i="38"/>
  <c r="AJ51" i="38"/>
  <c r="R27" i="38"/>
  <c r="AJ27" i="38"/>
  <c r="R105" i="38"/>
  <c r="AJ105" i="38"/>
  <c r="R88" i="38"/>
  <c r="AJ88" i="38"/>
  <c r="R68" i="38"/>
  <c r="AJ68" i="38"/>
  <c r="R47" i="38"/>
  <c r="AJ47" i="38"/>
  <c r="R23" i="38"/>
  <c r="AJ23" i="38"/>
  <c r="R101" i="38"/>
  <c r="AJ101" i="38"/>
  <c r="R84" i="38"/>
  <c r="AJ84" i="38"/>
  <c r="R63" i="38"/>
  <c r="AJ63" i="38"/>
  <c r="R40" i="38"/>
  <c r="AJ40" i="38"/>
  <c r="R18" i="38"/>
  <c r="AJ18" i="38"/>
  <c r="R94" i="38"/>
  <c r="AJ94" i="38"/>
  <c r="R74" i="38"/>
  <c r="AJ74" i="38"/>
  <c r="R54" i="38"/>
  <c r="AJ54" i="38"/>
  <c r="R30" i="38"/>
  <c r="AJ30" i="38"/>
  <c r="R104" i="38"/>
  <c r="AJ104" i="38"/>
  <c r="R86" i="38"/>
  <c r="AJ86" i="38"/>
  <c r="R66" i="38"/>
  <c r="AJ66" i="38"/>
  <c r="R44" i="38"/>
  <c r="S15" i="34" s="1"/>
  <c r="AJ44" i="38"/>
  <c r="R21" i="38"/>
  <c r="AJ21" i="38"/>
  <c r="R100" i="38"/>
  <c r="AJ100" i="38"/>
  <c r="R83" i="38"/>
  <c r="AJ83" i="38"/>
  <c r="R62" i="38"/>
  <c r="AJ62" i="38"/>
  <c r="R39" i="38"/>
  <c r="AJ39" i="38"/>
  <c r="R17" i="38"/>
  <c r="S23" i="34" s="1"/>
  <c r="AJ17" i="38"/>
  <c r="R97" i="38"/>
  <c r="AJ97" i="38"/>
  <c r="R80" i="38"/>
  <c r="AJ80" i="38"/>
  <c r="R58" i="38"/>
  <c r="AJ58" i="38"/>
  <c r="R35" i="38"/>
  <c r="AJ35" i="38"/>
  <c r="R107" i="38"/>
  <c r="AJ107" i="38"/>
  <c r="R90" i="38"/>
  <c r="AJ90" i="38"/>
  <c r="R70" i="38"/>
  <c r="AJ70" i="38"/>
  <c r="R50" i="38"/>
  <c r="AJ50" i="38"/>
  <c r="R26" i="38"/>
  <c r="S5" i="34" s="1"/>
  <c r="N5" i="39" s="1"/>
  <c r="AJ26" i="38"/>
  <c r="R99" i="38"/>
  <c r="AJ99" i="38"/>
  <c r="R82" i="38"/>
  <c r="AJ82" i="38"/>
  <c r="R61" i="38"/>
  <c r="AJ61" i="38"/>
  <c r="R38" i="38"/>
  <c r="AJ38" i="38"/>
  <c r="R16" i="38"/>
  <c r="AJ16" i="38"/>
  <c r="R96" i="38"/>
  <c r="AJ96" i="38"/>
  <c r="R78" i="38"/>
  <c r="AJ78" i="38"/>
  <c r="R57" i="38"/>
  <c r="AJ57" i="38"/>
  <c r="R34" i="38"/>
  <c r="AJ34" i="38"/>
  <c r="R110" i="38"/>
  <c r="AJ110" i="38"/>
  <c r="R93" i="38"/>
  <c r="AJ93" i="38"/>
  <c r="R73" i="38"/>
  <c r="AJ73" i="38"/>
  <c r="R53" i="38"/>
  <c r="AJ53" i="38"/>
  <c r="R29" i="38"/>
  <c r="AJ29" i="38"/>
  <c r="R102" i="38"/>
  <c r="AJ102" i="38"/>
  <c r="R85" i="38"/>
  <c r="AJ85" i="38"/>
  <c r="R64" i="38"/>
  <c r="AJ64" i="38"/>
  <c r="R43" i="38"/>
  <c r="AJ43" i="38"/>
  <c r="R19" i="38"/>
  <c r="AJ19" i="38"/>
  <c r="AH19" i="34" l="1"/>
  <c r="V19" i="39" s="1"/>
  <c r="AO7" i="34"/>
  <c r="AC7" i="39" s="1"/>
  <c r="AI10" i="34"/>
  <c r="W10" i="39" s="1"/>
  <c r="AJ25" i="34"/>
  <c r="X25" i="39" s="1"/>
  <c r="Q25" i="39"/>
  <c r="AJ19" i="34"/>
  <c r="X19" i="39" s="1"/>
  <c r="Q19" i="39"/>
  <c r="O19" i="39"/>
  <c r="AI25" i="34"/>
  <c r="W25" i="39" s="1"/>
  <c r="AJ11" i="34"/>
  <c r="X11" i="39" s="1"/>
  <c r="Q11" i="39"/>
  <c r="AI19" i="34"/>
  <c r="W19" i="39" s="1"/>
  <c r="AH25" i="34"/>
  <c r="V25" i="39" s="1"/>
  <c r="AH7" i="34"/>
  <c r="V7" i="39" s="1"/>
  <c r="AI9" i="34"/>
  <c r="W9" i="39" s="1"/>
  <c r="AI7" i="34"/>
  <c r="W7" i="39" s="1"/>
  <c r="P9" i="39"/>
  <c r="AJ7" i="34"/>
  <c r="X7" i="39" s="1"/>
  <c r="O7" i="39"/>
  <c r="AH21" i="34"/>
  <c r="V21" i="39" s="1"/>
  <c r="AI38" i="34"/>
  <c r="AI20" i="34"/>
  <c r="W20" i="39" s="1"/>
  <c r="AJ21" i="34"/>
  <c r="X21" i="39" s="1"/>
  <c r="AO26" i="34"/>
  <c r="AC26" i="39" s="1"/>
  <c r="AG26" i="34"/>
  <c r="AU26" i="34"/>
  <c r="O26" i="39"/>
  <c r="AH26" i="34"/>
  <c r="V26" i="39" s="1"/>
  <c r="AI26" i="34"/>
  <c r="W26" i="39" s="1"/>
  <c r="P26" i="39"/>
  <c r="AJ26" i="34"/>
  <c r="X26" i="39" s="1"/>
  <c r="AI21" i="34"/>
  <c r="W21" i="39" s="1"/>
  <c r="P21" i="39"/>
  <c r="Z23" i="34"/>
  <c r="N23" i="39"/>
  <c r="AO23" i="34"/>
  <c r="AC23" i="39" s="1"/>
  <c r="AA23" i="34"/>
  <c r="AH38" i="34"/>
  <c r="AG38" i="34"/>
  <c r="AN38" i="34" s="1"/>
  <c r="AU38" i="34"/>
  <c r="O21" i="39"/>
  <c r="AH20" i="34"/>
  <c r="V20" i="39" s="1"/>
  <c r="O20" i="39"/>
  <c r="AA17" i="34"/>
  <c r="O17" i="39" s="1"/>
  <c r="AI17" i="34"/>
  <c r="W17" i="39" s="1"/>
  <c r="Z15" i="34"/>
  <c r="N15" i="39"/>
  <c r="AH15" i="34"/>
  <c r="V15" i="39" s="1"/>
  <c r="AA15" i="34"/>
  <c r="AO15" i="34"/>
  <c r="AC15" i="39" s="1"/>
  <c r="Z13" i="34"/>
  <c r="N13" i="39"/>
  <c r="AA13" i="34"/>
  <c r="O13" i="39" s="1"/>
  <c r="AH13" i="34"/>
  <c r="V13" i="39" s="1"/>
  <c r="AH16" i="34"/>
  <c r="V16" i="39" s="1"/>
  <c r="O16" i="39"/>
  <c r="AV16" i="34"/>
  <c r="O8" i="39"/>
  <c r="AH8" i="34"/>
  <c r="V8" i="39" s="1"/>
  <c r="O14" i="39"/>
  <c r="R14" i="39"/>
  <c r="AC14" i="34"/>
  <c r="Q14" i="39" s="1"/>
  <c r="AQ14" i="34"/>
  <c r="AE14" i="39" s="1"/>
  <c r="Z6" i="34"/>
  <c r="AA6" i="34" s="1"/>
  <c r="AO9" i="34"/>
  <c r="AC9" i="39" s="1"/>
  <c r="Z5" i="34"/>
  <c r="AA5" i="34" s="1"/>
  <c r="O5" i="39" s="1"/>
  <c r="AI6" i="34"/>
  <c r="W6" i="39" s="1"/>
  <c r="P6" i="39"/>
  <c r="AF6" i="39"/>
  <c r="AH6" i="39"/>
  <c r="AT46" i="34"/>
  <c r="AI5" i="34"/>
  <c r="W5" i="39" s="1"/>
  <c r="AO5" i="34"/>
  <c r="AC5" i="39" s="1"/>
  <c r="AA10" i="34"/>
  <c r="AH10" i="34" s="1"/>
  <c r="V10" i="39" s="1"/>
  <c r="Z4" i="34"/>
  <c r="AB1" i="34"/>
  <c r="W13" i="39"/>
  <c r="O9" i="39"/>
  <c r="AV12" i="34"/>
  <c r="AJ12" i="39" s="1"/>
  <c r="O12" i="39"/>
  <c r="O25" i="39"/>
  <c r="AV25" i="34"/>
  <c r="AJ25" i="39" s="1"/>
  <c r="P11" i="39"/>
  <c r="AV11" i="34"/>
  <c r="AJ11" i="39" s="1"/>
  <c r="P5" i="39"/>
  <c r="N4" i="39"/>
  <c r="B57" i="34"/>
  <c r="B58" i="34"/>
  <c r="Y2" i="35"/>
  <c r="X2" i="35"/>
  <c r="AV19" i="34" l="1"/>
  <c r="AV7" i="34"/>
  <c r="AJ7" i="39" s="1"/>
  <c r="AV38" i="34"/>
  <c r="AV21" i="34"/>
  <c r="AH23" i="34"/>
  <c r="V23" i="39" s="1"/>
  <c r="O23" i="39"/>
  <c r="AI26" i="39"/>
  <c r="AU46" i="34"/>
  <c r="AV20" i="34"/>
  <c r="AN26" i="34"/>
  <c r="AB26" i="39" s="1"/>
  <c r="U26" i="39"/>
  <c r="AH17" i="34"/>
  <c r="V17" i="39" s="1"/>
  <c r="AC17" i="34"/>
  <c r="Q17" i="39" s="1"/>
  <c r="R17" i="39"/>
  <c r="AQ17" i="34"/>
  <c r="AE17" i="39" s="1"/>
  <c r="O15" i="39"/>
  <c r="AV15" i="34"/>
  <c r="R6" i="39"/>
  <c r="AC6" i="34"/>
  <c r="Q6" i="39" s="1"/>
  <c r="O6" i="39"/>
  <c r="AQ6" i="34"/>
  <c r="AE6" i="39" s="1"/>
  <c r="AV14" i="34"/>
  <c r="AJ16" i="39"/>
  <c r="AW16" i="34"/>
  <c r="AK16" i="39" s="1"/>
  <c r="AO6" i="34"/>
  <c r="AC6" i="39" s="1"/>
  <c r="AV8" i="34"/>
  <c r="AH9" i="34"/>
  <c r="V9" i="39" s="1"/>
  <c r="AH38" i="39"/>
  <c r="AA9" i="35"/>
  <c r="Z16" i="35"/>
  <c r="AT47" i="34"/>
  <c r="AH5" i="34"/>
  <c r="V5" i="39" s="1"/>
  <c r="AV10" i="34"/>
  <c r="AJ10" i="39" s="1"/>
  <c r="O10" i="39"/>
  <c r="Q9" i="39"/>
  <c r="AV13" i="34"/>
  <c r="AJ13" i="39" s="1"/>
  <c r="AW12" i="34"/>
  <c r="AK12" i="39" s="1"/>
  <c r="AW25" i="34"/>
  <c r="AK25" i="39" s="1"/>
  <c r="AW11" i="34"/>
  <c r="AK11" i="39" s="1"/>
  <c r="X5" i="39"/>
  <c r="Q5" i="39"/>
  <c r="AW38" i="34"/>
  <c r="H51" i="34"/>
  <c r="AW39" i="34"/>
  <c r="R54" i="34"/>
  <c r="X4" i="35"/>
  <c r="AW19" i="34" l="1"/>
  <c r="AK19" i="39" s="1"/>
  <c r="AJ19" i="39"/>
  <c r="AW7" i="34"/>
  <c r="AK7" i="39" s="1"/>
  <c r="AI38" i="39"/>
  <c r="AD16" i="35"/>
  <c r="AU47" i="34"/>
  <c r="AA10" i="35"/>
  <c r="AJ21" i="39"/>
  <c r="AW21" i="34"/>
  <c r="AK21" i="39" s="1"/>
  <c r="AV23" i="34"/>
  <c r="AJ20" i="39"/>
  <c r="AW20" i="34"/>
  <c r="AK20" i="39" s="1"/>
  <c r="AV26" i="34"/>
  <c r="AJ17" i="34"/>
  <c r="X17" i="39" s="1"/>
  <c r="Y17" i="39"/>
  <c r="AW15" i="34"/>
  <c r="AK15" i="39" s="1"/>
  <c r="AJ15" i="39"/>
  <c r="AJ6" i="34"/>
  <c r="X6" i="39" s="1"/>
  <c r="Y6" i="39"/>
  <c r="AJ8" i="39"/>
  <c r="AW8" i="34"/>
  <c r="AK8" i="39" s="1"/>
  <c r="AJ14" i="39"/>
  <c r="AW14" i="34"/>
  <c r="AK14" i="39" s="1"/>
  <c r="AH6" i="34"/>
  <c r="V6" i="39" s="1"/>
  <c r="AW10" i="34"/>
  <c r="AK10" i="39" s="1"/>
  <c r="AW13" i="34"/>
  <c r="AK13" i="39" s="1"/>
  <c r="X9" i="39"/>
  <c r="AV9" i="34"/>
  <c r="AJ9" i="39" s="1"/>
  <c r="AV5" i="34"/>
  <c r="K50" i="36"/>
  <c r="K17" i="36"/>
  <c r="AJ23" i="39" l="1"/>
  <c r="AW23" i="34"/>
  <c r="AK23" i="39" s="1"/>
  <c r="AJ26" i="39"/>
  <c r="AW26" i="34"/>
  <c r="AK26" i="39" s="1"/>
  <c r="AV17" i="34"/>
  <c r="AJ17" i="39" s="1"/>
  <c r="AV6" i="34"/>
  <c r="AJ6" i="39" s="1"/>
  <c r="AW5" i="34"/>
  <c r="AK5" i="39" s="1"/>
  <c r="AJ5" i="39"/>
  <c r="AW9" i="34"/>
  <c r="AK9" i="39" s="1"/>
  <c r="D3" i="36"/>
  <c r="AW17" i="34" l="1"/>
  <c r="AK17" i="39" s="1"/>
  <c r="AW6" i="34"/>
  <c r="AK6" i="39" s="1"/>
  <c r="B119" i="34"/>
  <c r="B118" i="34"/>
  <c r="B117" i="34"/>
  <c r="B116" i="34"/>
  <c r="B115" i="34"/>
  <c r="B114" i="34"/>
  <c r="B113" i="34"/>
  <c r="B112" i="34"/>
  <c r="D112" i="34" s="1"/>
  <c r="B111" i="34"/>
  <c r="D111" i="34" s="1"/>
  <c r="Y4" i="34"/>
  <c r="AP4" i="34" l="1"/>
  <c r="AB4" i="34"/>
  <c r="AO4" i="34"/>
  <c r="AA4" i="34"/>
  <c r="AC4" i="34" s="1"/>
  <c r="AL4" i="34"/>
  <c r="Z4" i="39" s="1"/>
  <c r="AS4" i="34"/>
  <c r="AE4" i="34"/>
  <c r="S4" i="39" s="1"/>
  <c r="AI4" i="34"/>
  <c r="P4" i="39"/>
  <c r="E57" i="34"/>
  <c r="F57" i="34"/>
  <c r="E56" i="34"/>
  <c r="E54" i="34"/>
  <c r="D54" i="34"/>
  <c r="O54" i="34"/>
  <c r="D113" i="34"/>
  <c r="D117" i="34"/>
  <c r="E118" i="34"/>
  <c r="D114" i="34"/>
  <c r="D118" i="34"/>
  <c r="E119" i="34"/>
  <c r="D115" i="34"/>
  <c r="D119" i="34"/>
  <c r="E116" i="34"/>
  <c r="D116" i="34"/>
  <c r="E117" i="34"/>
  <c r="B106" i="34"/>
  <c r="B105" i="34"/>
  <c r="B104" i="34"/>
  <c r="B103" i="34"/>
  <c r="B102" i="34"/>
  <c r="B101" i="34"/>
  <c r="B100" i="34"/>
  <c r="D100" i="34" s="1"/>
  <c r="B99" i="34"/>
  <c r="D99" i="34" s="1"/>
  <c r="B98" i="34"/>
  <c r="D98" i="34" s="1"/>
  <c r="AP46" i="34" l="1"/>
  <c r="AD4" i="39"/>
  <c r="AQ4" i="34"/>
  <c r="AJ4" i="34" s="1"/>
  <c r="X4" i="39" s="1"/>
  <c r="AR4" i="34"/>
  <c r="AD4" i="34"/>
  <c r="AK4" i="34" s="1"/>
  <c r="Y4" i="39" s="1"/>
  <c r="O4" i="39"/>
  <c r="AS46" i="34"/>
  <c r="AG38" i="39" s="1"/>
  <c r="AG4" i="39"/>
  <c r="AO46" i="34"/>
  <c r="AC38" i="39" s="1"/>
  <c r="AC4" i="39"/>
  <c r="AH4" i="34"/>
  <c r="V4" i="39" s="1"/>
  <c r="W4" i="39"/>
  <c r="E51" i="34"/>
  <c r="R53" i="34"/>
  <c r="Q51" i="34"/>
  <c r="E55" i="34"/>
  <c r="G54" i="34"/>
  <c r="G52" i="34"/>
  <c r="G53" i="34"/>
  <c r="P51" i="34"/>
  <c r="G51" i="34"/>
  <c r="F53" i="34"/>
  <c r="D50" i="34"/>
  <c r="O53" i="34"/>
  <c r="F52" i="34"/>
  <c r="L54" i="34"/>
  <c r="B55" i="34"/>
  <c r="M54" i="34"/>
  <c r="D55" i="34"/>
  <c r="E52" i="34"/>
  <c r="N55" i="34"/>
  <c r="M53" i="34"/>
  <c r="D53" i="34"/>
  <c r="L55" i="34"/>
  <c r="B56" i="34"/>
  <c r="L53" i="34"/>
  <c r="B53" i="34"/>
  <c r="D52" i="34"/>
  <c r="B54" i="34"/>
  <c r="M55" i="34"/>
  <c r="D56" i="34"/>
  <c r="B51" i="34"/>
  <c r="B52" i="34"/>
  <c r="D51" i="34"/>
  <c r="G50" i="34"/>
  <c r="D104" i="34"/>
  <c r="D103" i="34"/>
  <c r="E106" i="34"/>
  <c r="D102" i="34"/>
  <c r="D106" i="34"/>
  <c r="D101" i="34"/>
  <c r="D105" i="34"/>
  <c r="E105" i="34"/>
  <c r="AP47" i="34" l="1"/>
  <c r="AD38" i="39"/>
  <c r="AA5" i="35"/>
  <c r="Y16" i="35" s="1"/>
  <c r="AQ46" i="34"/>
  <c r="AE38" i="39" s="1"/>
  <c r="AE4" i="39"/>
  <c r="R4" i="39"/>
  <c r="AF4" i="39"/>
  <c r="AR46" i="34"/>
  <c r="AA8" i="35"/>
  <c r="AC16" i="35"/>
  <c r="AS47" i="34"/>
  <c r="AA4" i="35"/>
  <c r="X16" i="35" s="1"/>
  <c r="AO47" i="34"/>
  <c r="Q4" i="39"/>
  <c r="AV4" i="34"/>
  <c r="AJ4" i="39" s="1"/>
  <c r="N52" i="34"/>
  <c r="N51" i="34"/>
  <c r="O52" i="34"/>
  <c r="AL46" i="34"/>
  <c r="Z38" i="39" s="1"/>
  <c r="M50" i="34"/>
  <c r="O51" i="34"/>
  <c r="M52" i="34"/>
  <c r="M51" i="34"/>
  <c r="L52" i="34"/>
  <c r="L51" i="34"/>
  <c r="E53" i="34"/>
  <c r="N53" i="34"/>
  <c r="P50" i="34"/>
  <c r="G118" i="34"/>
  <c r="S72" i="34"/>
  <c r="S71" i="34"/>
  <c r="S70" i="34"/>
  <c r="S69" i="34"/>
  <c r="S68" i="34"/>
  <c r="S67" i="34"/>
  <c r="S66" i="34"/>
  <c r="S65" i="34"/>
  <c r="S64" i="34"/>
  <c r="S63" i="34"/>
  <c r="S62" i="34"/>
  <c r="S61" i="34"/>
  <c r="S60" i="34"/>
  <c r="S57" i="34"/>
  <c r="S56" i="34"/>
  <c r="S55" i="34"/>
  <c r="N106" i="34"/>
  <c r="J106" i="34"/>
  <c r="M106" i="34"/>
  <c r="L106" i="34"/>
  <c r="I106" i="34"/>
  <c r="H106" i="34"/>
  <c r="F106" i="34"/>
  <c r="J105" i="34"/>
  <c r="L105" i="34"/>
  <c r="I105" i="34"/>
  <c r="H105" i="34"/>
  <c r="AH51" i="34" l="1"/>
  <c r="I41" i="39" s="1"/>
  <c r="AA16" i="35"/>
  <c r="AA6" i="35"/>
  <c r="AQ47" i="34"/>
  <c r="AA7" i="35"/>
  <c r="AR47" i="34"/>
  <c r="AF38" i="39"/>
  <c r="AB16" i="35"/>
  <c r="AH52" i="34"/>
  <c r="I42" i="39" s="1"/>
  <c r="AW4" i="34"/>
  <c r="AK4" i="39" s="1"/>
  <c r="R52" i="34"/>
  <c r="R51" i="34"/>
  <c r="A22" i="32"/>
  <c r="C22" i="32" s="1"/>
  <c r="E22" i="32" s="1"/>
  <c r="A17" i="32"/>
  <c r="L115" i="34"/>
  <c r="M115" i="34"/>
  <c r="M105" i="34"/>
  <c r="T18" i="35" l="1"/>
  <c r="X21" i="35" s="1"/>
  <c r="H76" i="34"/>
  <c r="AO51" i="34"/>
  <c r="P41" i="39" s="1"/>
  <c r="AO52" i="34"/>
  <c r="AO55" i="34" s="1"/>
  <c r="P45" i="39" s="1"/>
  <c r="H77" i="34"/>
  <c r="T19" i="35"/>
  <c r="AH55" i="34"/>
  <c r="I45" i="39" s="1"/>
  <c r="AC1" i="34"/>
  <c r="M102" i="34"/>
  <c r="M104" i="34"/>
  <c r="M101" i="34"/>
  <c r="M103" i="34"/>
  <c r="M114" i="34"/>
  <c r="F22" i="32"/>
  <c r="G22" i="32" s="1"/>
  <c r="C17" i="32"/>
  <c r="E17" i="32" s="1"/>
  <c r="P42" i="39" l="1"/>
  <c r="T23" i="35"/>
  <c r="H80" i="34"/>
  <c r="N118" i="34"/>
  <c r="L114" i="34"/>
  <c r="L119" i="34"/>
  <c r="M119" i="34"/>
  <c r="F17" i="32"/>
  <c r="G17" i="32" s="1"/>
  <c r="J115" i="34" l="1"/>
  <c r="N99" i="34" l="1"/>
  <c r="I103" i="34"/>
  <c r="L102" i="34"/>
  <c r="L104" i="34"/>
  <c r="J102" i="34"/>
  <c r="J104" i="34"/>
  <c r="L101" i="34"/>
  <c r="L103" i="34"/>
  <c r="J101" i="34"/>
  <c r="J103" i="34"/>
  <c r="N102" i="34"/>
  <c r="N103" i="34"/>
  <c r="J99" i="34"/>
  <c r="L99" i="34"/>
  <c r="J114" i="34" l="1"/>
  <c r="J119" i="34"/>
  <c r="M118" i="34"/>
  <c r="H118" i="34"/>
  <c r="M100" i="34"/>
  <c r="H104" i="34"/>
  <c r="H103" i="34"/>
  <c r="H102" i="34"/>
  <c r="M98" i="34"/>
  <c r="M116" i="34" l="1"/>
  <c r="H119" i="34"/>
  <c r="M99" i="34"/>
  <c r="H115" i="34"/>
  <c r="I115" i="34"/>
  <c r="H116" i="34" l="1"/>
  <c r="M117" i="34"/>
  <c r="H117" i="34"/>
  <c r="AL47" i="34"/>
  <c r="Z8" i="35" l="1"/>
  <c r="AC15" i="35" l="1"/>
  <c r="G105" i="34"/>
  <c r="H101" i="34" l="1"/>
  <c r="H114" i="34"/>
  <c r="G119" i="34" l="1"/>
  <c r="H113" i="34" l="1"/>
  <c r="H100" i="34"/>
  <c r="N105" i="34"/>
  <c r="N101" i="34"/>
  <c r="M112" i="34"/>
  <c r="M113" i="34"/>
  <c r="E103" i="34"/>
  <c r="E104" i="34"/>
  <c r="E100" i="34"/>
  <c r="E113" i="34"/>
  <c r="I102" i="34"/>
  <c r="E114" i="34"/>
  <c r="E102" i="34"/>
  <c r="E111" i="34"/>
  <c r="E98" i="34"/>
  <c r="E112" i="34"/>
  <c r="E99" i="34"/>
  <c r="B50" i="34" l="1"/>
  <c r="H98" i="34"/>
  <c r="G117" i="34"/>
  <c r="G116" i="34"/>
  <c r="L112" i="34"/>
  <c r="L117" i="34"/>
  <c r="N112" i="34"/>
  <c r="N117" i="34"/>
  <c r="I100" i="34"/>
  <c r="I104" i="34"/>
  <c r="S59" i="34"/>
  <c r="S54" i="34"/>
  <c r="N115" i="34" s="1"/>
  <c r="N100" i="34"/>
  <c r="N104" i="34"/>
  <c r="L113" i="34"/>
  <c r="L118" i="34"/>
  <c r="J100" i="34"/>
  <c r="N113" i="34"/>
  <c r="E101" i="34"/>
  <c r="E115" i="34"/>
  <c r="G115" i="34"/>
  <c r="G103" i="34"/>
  <c r="G102" i="34"/>
  <c r="G114" i="34"/>
  <c r="G98" i="34"/>
  <c r="G111" i="34"/>
  <c r="G99" i="34"/>
  <c r="G112" i="34"/>
  <c r="F50" i="34" l="1"/>
  <c r="E50" i="34"/>
  <c r="Q50" i="34"/>
  <c r="H50" i="34"/>
  <c r="H112" i="34"/>
  <c r="H99" i="34"/>
  <c r="G113" i="34"/>
  <c r="G100" i="34"/>
  <c r="J112" i="34"/>
  <c r="J117" i="34"/>
  <c r="J113" i="34"/>
  <c r="J118" i="34"/>
  <c r="S58" i="34"/>
  <c r="S53" i="34"/>
  <c r="N114" i="34" s="1"/>
  <c r="F98" i="34"/>
  <c r="I101" i="34"/>
  <c r="F115" i="34"/>
  <c r="G104" i="34"/>
  <c r="G101" i="34"/>
  <c r="I99" i="34"/>
  <c r="L100" i="34"/>
  <c r="F100" i="34"/>
  <c r="F99" i="34"/>
  <c r="O50" i="34" l="1"/>
  <c r="N50" i="34"/>
  <c r="L50" i="34"/>
  <c r="F111" i="34" s="1"/>
  <c r="R50" i="34"/>
  <c r="H111" i="34"/>
  <c r="F112" i="34"/>
  <c r="F117" i="34"/>
  <c r="F103" i="34"/>
  <c r="I113" i="34"/>
  <c r="I118" i="34"/>
  <c r="N119" i="34"/>
  <c r="F114" i="34"/>
  <c r="F119" i="34"/>
  <c r="F116" i="34"/>
  <c r="F104" i="34"/>
  <c r="F102" i="34"/>
  <c r="J98" i="34"/>
  <c r="N98" i="34"/>
  <c r="M111" i="34"/>
  <c r="L98" i="34"/>
  <c r="I98" i="34"/>
  <c r="AG46" i="34"/>
  <c r="AF46" i="34"/>
  <c r="AE46" i="34"/>
  <c r="AF47" i="34" l="1"/>
  <c r="T38" i="39"/>
  <c r="AE47" i="34"/>
  <c r="S38" i="39"/>
  <c r="AG47" i="34"/>
  <c r="U38" i="39"/>
  <c r="I111" i="34"/>
  <c r="I116" i="34"/>
  <c r="N111" i="34"/>
  <c r="N116" i="34"/>
  <c r="F113" i="34"/>
  <c r="F118" i="34"/>
  <c r="F101" i="34"/>
  <c r="F105" i="34"/>
  <c r="I114" i="34"/>
  <c r="I119" i="34"/>
  <c r="L111" i="34"/>
  <c r="L116" i="34"/>
  <c r="J111" i="34"/>
  <c r="J116" i="34"/>
  <c r="I112" i="34"/>
  <c r="I117" i="34"/>
  <c r="AJ46" i="34"/>
  <c r="X38" i="39" s="1"/>
  <c r="AN46" i="34"/>
  <c r="AB38" i="39" s="1"/>
  <c r="Y10" i="35"/>
  <c r="Y9" i="35"/>
  <c r="AM46" i="34"/>
  <c r="Y8" i="35"/>
  <c r="AD46" i="34"/>
  <c r="AC46" i="34"/>
  <c r="AD47" i="34" l="1"/>
  <c r="R38" i="39"/>
  <c r="AM47" i="34"/>
  <c r="AA38" i="39"/>
  <c r="AC47" i="34"/>
  <c r="Q38" i="39"/>
  <c r="AN47" i="34"/>
  <c r="AJ47" i="34"/>
  <c r="AC14" i="35"/>
  <c r="AD14" i="35"/>
  <c r="Z14" i="35"/>
  <c r="Z6" i="35"/>
  <c r="Z10" i="35"/>
  <c r="Z9" i="35"/>
  <c r="Y6" i="35"/>
  <c r="Y7" i="35"/>
  <c r="Z15" i="35" l="1"/>
  <c r="AD15" i="35"/>
  <c r="AA14" i="35"/>
  <c r="AB14" i="35"/>
  <c r="AA15" i="35"/>
  <c r="AA46" i="34" l="1"/>
  <c r="O38" i="39" l="1"/>
  <c r="AA47" i="34"/>
  <c r="Y4" i="35"/>
  <c r="AK46" i="34"/>
  <c r="AH46" i="34"/>
  <c r="AK47" i="34" l="1"/>
  <c r="Y38" i="39"/>
  <c r="AH47" i="34"/>
  <c r="V38" i="39"/>
  <c r="X14" i="35"/>
  <c r="Z7" i="35"/>
  <c r="Z4" i="35"/>
  <c r="E12" i="32"/>
  <c r="E7" i="32"/>
  <c r="X15" i="35" l="1"/>
  <c r="AB15" i="35"/>
  <c r="F12" i="32"/>
  <c r="G12" i="32" s="1"/>
  <c r="F7" i="32"/>
  <c r="G7" i="32" s="1"/>
  <c r="AI46" i="34" l="1"/>
  <c r="AF52" i="34" s="1"/>
  <c r="G42" i="39" s="1"/>
  <c r="AB46" i="34"/>
  <c r="AD52" i="34" s="1"/>
  <c r="E42" i="39" s="1"/>
  <c r="D77" i="34" l="1"/>
  <c r="F19" i="35"/>
  <c r="M19" i="35"/>
  <c r="M77" i="34"/>
  <c r="AB47" i="34"/>
  <c r="P38" i="39"/>
  <c r="AI47" i="34"/>
  <c r="W38" i="39"/>
  <c r="Y5" i="35"/>
  <c r="AD51" i="34"/>
  <c r="E41" i="39" s="1"/>
  <c r="Z5" i="35"/>
  <c r="AF51" i="34"/>
  <c r="G41" i="39" s="1"/>
  <c r="AK52" i="34" l="1"/>
  <c r="AK51" i="34"/>
  <c r="L41" i="39" s="1"/>
  <c r="AM51" i="34"/>
  <c r="N41" i="39" s="1"/>
  <c r="AM52" i="34"/>
  <c r="M76" i="34"/>
  <c r="M18" i="35"/>
  <c r="X20" i="35" s="1"/>
  <c r="M78" i="34"/>
  <c r="M21" i="35"/>
  <c r="AF54" i="34"/>
  <c r="G44" i="39" s="1"/>
  <c r="D76" i="34"/>
  <c r="F18" i="35"/>
  <c r="X19" i="35" s="1"/>
  <c r="D78" i="34"/>
  <c r="F21" i="35"/>
  <c r="AD54" i="34"/>
  <c r="E44" i="39" s="1"/>
  <c r="Y15" i="35"/>
  <c r="Y14" i="35"/>
  <c r="AM55" i="34" l="1"/>
  <c r="N45" i="39" s="1"/>
  <c r="N42" i="39"/>
  <c r="AK55" i="34"/>
  <c r="L45" i="39" s="1"/>
  <c r="L42" i="39"/>
  <c r="F22" i="35"/>
  <c r="AF55" i="34"/>
  <c r="G45" i="39" s="1"/>
  <c r="AD55" i="34"/>
  <c r="E45" i="39" s="1"/>
  <c r="D79" i="34"/>
  <c r="D80" i="34" s="1"/>
  <c r="M79" i="34"/>
  <c r="M22" i="35"/>
  <c r="M23" i="35" l="1"/>
  <c r="M80" i="34"/>
  <c r="F23" i="35"/>
</calcChain>
</file>

<file path=xl/sharedStrings.xml><?xml version="1.0" encoding="utf-8"?>
<sst xmlns="http://schemas.openxmlformats.org/spreadsheetml/2006/main" count="1035" uniqueCount="441">
  <si>
    <t>TOTAL</t>
  </si>
  <si>
    <t>GRAVABLE</t>
  </si>
  <si>
    <t>EXENTO</t>
  </si>
  <si>
    <t>NUCITA</t>
  </si>
  <si>
    <t>PASTAS</t>
  </si>
  <si>
    <t>N° Guia</t>
  </si>
  <si>
    <t>Cliente</t>
  </si>
  <si>
    <t>Destino</t>
  </si>
  <si>
    <t>Región</t>
  </si>
  <si>
    <t>Fecha Solicitud</t>
  </si>
  <si>
    <t>Pasta (Kgs.)</t>
  </si>
  <si>
    <t>Confites (Cjs.)</t>
  </si>
  <si>
    <t>Confites (Kgs.)</t>
  </si>
  <si>
    <t>Total Kgs.</t>
  </si>
  <si>
    <t>BASE DE FLETE</t>
  </si>
  <si>
    <t>SIMULADOR PARA CALCULOS AL MOMENTO DE FACTURAR</t>
  </si>
  <si>
    <r>
      <t xml:space="preserve">RECOMENDACIONES: </t>
    </r>
    <r>
      <rPr>
        <sz val="12"/>
        <rFont val="Times New Roman"/>
        <family val="1"/>
      </rPr>
      <t>Ingresar unicamente el Valor que corresponde, flete, caleta, mora, reparto y Los Kilos de pastas que muestra en la Guia de Carga</t>
    </r>
  </si>
  <si>
    <r>
      <t xml:space="preserve">NOTA: </t>
    </r>
    <r>
      <rPr>
        <sz val="12"/>
        <rFont val="Times New Roman"/>
        <family val="1"/>
      </rPr>
      <t>Esto solo se aplica si el viaje lleva productos de pastas y nucita</t>
    </r>
  </si>
  <si>
    <t>VALOR FLETE</t>
  </si>
  <si>
    <t>KILOS DE PASTAS</t>
  </si>
  <si>
    <t>FACTOR</t>
  </si>
  <si>
    <t>CAPACIDAD MÁXIMA</t>
  </si>
  <si>
    <t>FACTURACIÓN
PASTAS</t>
  </si>
  <si>
    <t>FACTURACIÓN
NUCITA</t>
  </si>
  <si>
    <t>VERIFICA</t>
  </si>
  <si>
    <t>DESDE</t>
  </si>
  <si>
    <t>HASTA</t>
  </si>
  <si>
    <t>IVA (16%)</t>
  </si>
  <si>
    <t>Choferes</t>
  </si>
  <si>
    <t xml:space="preserve">TABULADOR PASTAS SINDONI Y NUCITA </t>
  </si>
  <si>
    <t>Capacidad de Carga</t>
  </si>
  <si>
    <t>M</t>
  </si>
  <si>
    <t>R</t>
  </si>
  <si>
    <t>C</t>
  </si>
  <si>
    <t>CALETA</t>
  </si>
  <si>
    <t>MORA</t>
  </si>
  <si>
    <t>DESVIO</t>
  </si>
  <si>
    <t>REPARTO</t>
  </si>
  <si>
    <t>PEAJE</t>
  </si>
  <si>
    <t>D</t>
  </si>
  <si>
    <t>MERIDA</t>
  </si>
  <si>
    <t>BARINAS</t>
  </si>
  <si>
    <t>MATURIN</t>
  </si>
  <si>
    <t>Caleta</t>
  </si>
  <si>
    <t>BARQUISIMETO</t>
  </si>
  <si>
    <t>PTO. ORDAZ</t>
  </si>
  <si>
    <t>CARACAS</t>
  </si>
  <si>
    <t>SUBTOTAL</t>
  </si>
  <si>
    <t>CALABOZO</t>
  </si>
  <si>
    <t>MARACAIBO</t>
  </si>
  <si>
    <t>MARACAY</t>
  </si>
  <si>
    <t>SAN CARLOS</t>
  </si>
  <si>
    <t>VALENCIA</t>
  </si>
  <si>
    <t>Región Central</t>
  </si>
  <si>
    <t xml:space="preserve">KM </t>
  </si>
  <si>
    <t>PALO NEGRO</t>
  </si>
  <si>
    <t>MAGDALENO</t>
  </si>
  <si>
    <t>MARIARA - SAN JOAQUIN</t>
  </si>
  <si>
    <t>GUACARA - LOS GUAYOS</t>
  </si>
  <si>
    <t>TEJERIAS</t>
  </si>
  <si>
    <t>LA VICTORIA</t>
  </si>
  <si>
    <t>TOCUYITO</t>
  </si>
  <si>
    <t>FLOR AMARILLO - GUIGUE - CENTRAL TACARIGUA</t>
  </si>
  <si>
    <t>PTO CABELLO</t>
  </si>
  <si>
    <t>MORON</t>
  </si>
  <si>
    <t>VALLES DEL TUY</t>
  </si>
  <si>
    <t>Región Capital</t>
  </si>
  <si>
    <t>LOS TEQUES</t>
  </si>
  <si>
    <t>MAMPOTE / GUARENAS/GUATIRE</t>
  </si>
  <si>
    <t>CAUCAGUA</t>
  </si>
  <si>
    <t>Región Llanos</t>
  </si>
  <si>
    <t>ALTAGRACIA DE ORITUCO</t>
  </si>
  <si>
    <t>ACARIGUA</t>
  </si>
  <si>
    <t>VALLE DE LA PASCUA</t>
  </si>
  <si>
    <t>MERDECES DEL LLANO</t>
  </si>
  <si>
    <t>TUREN</t>
  </si>
  <si>
    <t>TUCUPIDO/ZARAZA</t>
  </si>
  <si>
    <t>GUANARE</t>
  </si>
  <si>
    <t>SAN FERNANDO APURE</t>
  </si>
  <si>
    <t>CHABASQUEN - BISCUCUY</t>
  </si>
  <si>
    <t>SOCOPO</t>
  </si>
  <si>
    <t>MANTECAL</t>
  </si>
  <si>
    <t>GUASDUALITO</t>
  </si>
  <si>
    <t>Región Centro Occidente</t>
  </si>
  <si>
    <t>BEJUMA/NIRGUA</t>
  </si>
  <si>
    <t>SAN FELIPE</t>
  </si>
  <si>
    <t>CHIVACOA</t>
  </si>
  <si>
    <t>SABANA DE PARRA</t>
  </si>
  <si>
    <t>QUIBOR</t>
  </si>
  <si>
    <t>EL TOCUYO/CARORA</t>
  </si>
  <si>
    <t>Región Andina</t>
  </si>
  <si>
    <t>BOCONO</t>
  </si>
  <si>
    <t>VALERA/TRUJILLO</t>
  </si>
  <si>
    <t>JAJO</t>
  </si>
  <si>
    <t>EL VIGIA</t>
  </si>
  <si>
    <t>SAN CRISTOBAL</t>
  </si>
  <si>
    <t>COLONCITO/TACHIRA</t>
  </si>
  <si>
    <t>LA FRIA</t>
  </si>
  <si>
    <t>LA GRITA</t>
  </si>
  <si>
    <t>Región Oriente</t>
  </si>
  <si>
    <t>BARCELONA</t>
  </si>
  <si>
    <t>PTO. LA CRUZ</t>
  </si>
  <si>
    <t>ANACO</t>
  </si>
  <si>
    <t>CUMANA</t>
  </si>
  <si>
    <t>EL TIGRE</t>
  </si>
  <si>
    <t>MARGARITA</t>
  </si>
  <si>
    <t>CARUPANO</t>
  </si>
  <si>
    <t>CIUDAD BOLIVAR</t>
  </si>
  <si>
    <t>PTO. AYACUCHO</t>
  </si>
  <si>
    <t>GUIRIA</t>
  </si>
  <si>
    <t>SAN FELIX</t>
  </si>
  <si>
    <t>TUCUPITA (DELTA AMACURO)</t>
  </si>
  <si>
    <t>TUMEREMO</t>
  </si>
  <si>
    <t>Región Occidente</t>
  </si>
  <si>
    <t>CORO</t>
  </si>
  <si>
    <t>PUNTO FIJO/AMUAY</t>
  </si>
  <si>
    <t>CABIMAS</t>
  </si>
  <si>
    <t>CUATRO BOCAS (NORTE ZULIA)</t>
  </si>
  <si>
    <t>STA BARBRA/COLON (SUR OEST- ZUL)</t>
  </si>
  <si>
    <t>MACHIQUES DE PERIJA</t>
  </si>
  <si>
    <t>Bs</t>
  </si>
  <si>
    <t>2,5 TM</t>
  </si>
  <si>
    <t>7,5 TM</t>
  </si>
  <si>
    <t>SIMULADOR PARA CALCULOS DE FLETE 7,5 TM</t>
  </si>
  <si>
    <t>5 TM</t>
  </si>
  <si>
    <t>Cap.</t>
  </si>
  <si>
    <t>10 TM</t>
  </si>
  <si>
    <t>30 TM</t>
  </si>
  <si>
    <t>TURMERO - CAGUA</t>
  </si>
  <si>
    <t>Cambio</t>
  </si>
  <si>
    <t>Tipo</t>
  </si>
  <si>
    <t>FIN SEMANA</t>
  </si>
  <si>
    <t>NUCIVEN</t>
  </si>
  <si>
    <t>Flete</t>
  </si>
  <si>
    <t>Reparto</t>
  </si>
  <si>
    <t>Desvío</t>
  </si>
  <si>
    <t>Mora</t>
  </si>
  <si>
    <t>Fin semana</t>
  </si>
  <si>
    <t>PASTAS SINDONI, C.A.</t>
  </si>
  <si>
    <t>NUCITA VENEZOLANA NUCIVEN, C.A.</t>
  </si>
  <si>
    <t>PATAS</t>
  </si>
  <si>
    <t>FLETE</t>
  </si>
  <si>
    <t>Cantidad</t>
  </si>
  <si>
    <t>Descripción</t>
  </si>
  <si>
    <t>Precio Unitario</t>
  </si>
  <si>
    <t>Precio Total</t>
  </si>
  <si>
    <t>Sub-Total</t>
  </si>
  <si>
    <t>Excento</t>
  </si>
  <si>
    <t>Ajustes</t>
  </si>
  <si>
    <t>Base Imponible</t>
  </si>
  <si>
    <t>I.V.A.</t>
  </si>
  <si>
    <t>TOTAL A PAGAR</t>
  </si>
  <si>
    <t>FIN DE SEMANA</t>
  </si>
  <si>
    <t>F</t>
  </si>
  <si>
    <t>SAN JUAN</t>
  </si>
  <si>
    <t>N° Guia2</t>
  </si>
  <si>
    <t>Peaje3</t>
  </si>
  <si>
    <t>Flete4</t>
  </si>
  <si>
    <t>Reparto6</t>
  </si>
  <si>
    <t>Desvío7</t>
  </si>
  <si>
    <t>Peaje8</t>
  </si>
  <si>
    <t>Mora9</t>
  </si>
  <si>
    <t>Fin semana10</t>
  </si>
  <si>
    <t>Peaje</t>
  </si>
  <si>
    <t>CALETAS</t>
  </si>
  <si>
    <t>MORAS</t>
  </si>
  <si>
    <t>DESVÍOS</t>
  </si>
  <si>
    <t>REPARTOS</t>
  </si>
  <si>
    <t>INVERSIONES Y SUMINISTROS FEMY, C. A.</t>
  </si>
  <si>
    <t>TRANSPORTE LUGO CHANG</t>
  </si>
  <si>
    <t>JOSE ANTONIO YANEZ FLORES</t>
  </si>
  <si>
    <t>INVERSIONES Y TRANSPORTE FIGUERA</t>
  </si>
  <si>
    <t>TRANSPORTE ZUNE</t>
  </si>
  <si>
    <t>MOCOPA</t>
  </si>
  <si>
    <t>INVERSIONES VERSIL, C.A.</t>
  </si>
  <si>
    <t>TRANSPORTE INTERNO PASTAS</t>
  </si>
  <si>
    <t>TRANSPORTE CLIENTE</t>
  </si>
  <si>
    <t>INVERSIONES CASS</t>
  </si>
  <si>
    <t>TRANSPORTE KAINOS 2018</t>
  </si>
  <si>
    <t>AVANTI 2000</t>
  </si>
  <si>
    <t>EM</t>
  </si>
  <si>
    <t>CAP</t>
  </si>
  <si>
    <t>K PASTA</t>
  </si>
  <si>
    <t>SIMULADOR PARA CALCULOS DE CALETA</t>
  </si>
  <si>
    <t xml:space="preserve">SIMULADOR PARA CALCULOS DE FLETE </t>
  </si>
  <si>
    <t>SIMULADOR PARA CALCULOS DE REPARTO</t>
  </si>
  <si>
    <t>VALOR CALETA</t>
  </si>
  <si>
    <t>FLETE BASE</t>
  </si>
  <si>
    <t>Depende de la capacidad del vehículo y el destino. Se calcula el precio en dólares * tasa de cambio B.C.V. del día viernes de la semana de cálculo.</t>
  </si>
  <si>
    <t>FLETE PASTAS</t>
  </si>
  <si>
    <t>Resultado de multiplicar el FACTOR por los kilos de pasta cargados.</t>
  </si>
  <si>
    <t>FLETE NUCIVEN</t>
  </si>
  <si>
    <t>FLETE BASE menos el FLETE PASTAS</t>
  </si>
  <si>
    <t>* SOLO EN CASO DE CARGA PASTA Y CONFITES</t>
  </si>
  <si>
    <t>CALETA PASTAS</t>
  </si>
  <si>
    <t>Resultado de dividir el precio de CALETA entre la CAP. MÁXIMA DEL VEHÍCULO y luego multiplicarlo por los kilos de pasta cargados.</t>
  </si>
  <si>
    <t>CALETA NUCIVEN</t>
  </si>
  <si>
    <t>Precio de CALETA menos CALETA PASTAS</t>
  </si>
  <si>
    <r>
      <t xml:space="preserve">IGUAL PARA TODOS LOS DEMÁS ITEMS, LOS PRECIOS REFERENCIALES ESTÁN EN LA HOJA </t>
    </r>
    <r>
      <rPr>
        <b/>
        <sz val="10"/>
        <rFont val="Arial"/>
        <family val="2"/>
      </rPr>
      <t>Tabulador</t>
    </r>
    <r>
      <rPr>
        <sz val="10"/>
        <rFont val="Arial"/>
        <family val="2"/>
      </rPr>
      <t xml:space="preserve"> </t>
    </r>
  </si>
  <si>
    <t>RESUMEN</t>
  </si>
  <si>
    <t>TASA CAMBIO:</t>
  </si>
  <si>
    <t>GUÍA</t>
  </si>
  <si>
    <t>DESTINO</t>
  </si>
  <si>
    <t>BASE FLETE</t>
  </si>
  <si>
    <t>FLETE PASTA</t>
  </si>
  <si>
    <t>FLETE B./CAP.MAX</t>
  </si>
  <si>
    <t>DESVÍO</t>
  </si>
  <si>
    <t>FACTOR * KG PASTA</t>
  </si>
  <si>
    <t>6 TM</t>
  </si>
  <si>
    <t>VILLA DE CURA</t>
  </si>
  <si>
    <t>CALCULO DE CALETAS EXTERNAS PROVEEDOR</t>
  </si>
  <si>
    <t>GUÍAS</t>
  </si>
  <si>
    <t>CLIENTE</t>
  </si>
  <si>
    <t>KG PASTA</t>
  </si>
  <si>
    <t>CAJAS CONFITE</t>
  </si>
  <si>
    <t>KG CONFITE</t>
  </si>
  <si>
    <t>TOTAL KG</t>
  </si>
  <si>
    <t>FECHA</t>
  </si>
  <si>
    <t>TOTAL:</t>
  </si>
  <si>
    <t>Caleta:</t>
  </si>
  <si>
    <t>PASTA</t>
  </si>
  <si>
    <t>J-07505231-5</t>
  </si>
  <si>
    <t>J-07512597-5</t>
  </si>
  <si>
    <t>SERVICIOS LOGÍSTICOS CENTROANDES</t>
  </si>
  <si>
    <t>3,5 T</t>
  </si>
  <si>
    <t>NESTOR CALDERA STA. BARBARA</t>
  </si>
  <si>
    <t>Calle Intersan, Edif. Pastas Sindoni, Piso 1, Ofic. 1, Zona Industrial Piñonal, Maracay</t>
  </si>
  <si>
    <t>Edo. Aragua.</t>
  </si>
  <si>
    <t>Es igual a dividir el FLETE BASE entre la CAPACIDAD MÁXIMA del vehículo. Bs x kilo.</t>
  </si>
  <si>
    <t>10</t>
  </si>
  <si>
    <t>11</t>
  </si>
  <si>
    <t>12</t>
  </si>
  <si>
    <t>13</t>
  </si>
  <si>
    <t>14</t>
  </si>
  <si>
    <t>16</t>
  </si>
  <si>
    <t xml:space="preserve">OTROS COSTOS ASOCIADOS: </t>
  </si>
  <si>
    <t>Premisas:</t>
  </si>
  <si>
    <t xml:space="preserve">Los desvíos se cancelarán aparte del reparto de la siguiente manera: si la distancia no supera los 20 Km entre destinos, se cancelará $12 para vehículos de hasta 6 tm y 20% si los supera, del valor del flete. En caso que dicha distancia supere los 20 Km, se cancelará en un 25% del flete base. </t>
  </si>
  <si>
    <t xml:space="preserve">El retorno con devolución que no forme parte del despacho, y que sea hasta un 20% de la capacidad del vehículo, se pagará adicional un 15% del flete base. Cuando sea devolución completa, se pagará un 60% del flete base. </t>
  </si>
  <si>
    <t>TRANSPORTE VALPACO 3000</t>
  </si>
  <si>
    <t>USD POR KILÓMETROS</t>
  </si>
  <si>
    <t>USD</t>
  </si>
  <si>
    <t>BS</t>
  </si>
  <si>
    <t>FLOWGROUP 63</t>
  </si>
  <si>
    <t>17</t>
  </si>
  <si>
    <t>18</t>
  </si>
  <si>
    <t>1,2 T</t>
  </si>
  <si>
    <t>KG CARGA</t>
  </si>
  <si>
    <t>KGS PASTA</t>
  </si>
  <si>
    <t>NUEVO TABULADOR USD</t>
  </si>
  <si>
    <t>En vehículos con capacidad de 2.5 a 6 tm, el pago por caleta se incrementó de $ 8 a $ 10.</t>
  </si>
  <si>
    <t>En vehículos con capacidad de 7.5 a 25 tm, el pago por caleta se incrementó de $ 10 a $ 15.</t>
  </si>
  <si>
    <t>En vehículos con capacidad de 30 tm, el pago por caleta se incrementó de $ 20 a $ 25.</t>
  </si>
  <si>
    <t>Los repartos se cancelarán cuando un despacho contenga varias entregas a clientes de una localidad, si los clientes están ubicados en la misma zona se pagará 1 reparto cada 2 clientes entregados.</t>
  </si>
  <si>
    <t>El flete del acarreo entre Planta San Vicente y Planta San Carlos para productos terminados se incrementa de $116 $ a  $119.</t>
  </si>
  <si>
    <t>INVERSIONES M&amp;C 5718 C.A.</t>
  </si>
  <si>
    <t>PASTAS SINDONI</t>
  </si>
  <si>
    <t xml:space="preserve">b  </t>
  </si>
  <si>
    <t>El servicio de caleta que contrate Empresas Sindoni se cancelará a razón de $ 15 por cada vehículo de 10 t y $ 50 por cada vehículo de 30 t.</t>
  </si>
  <si>
    <t>El servicio realizado un fin de semana, tendra un recargo del 5% del flete.</t>
  </si>
  <si>
    <t>20 tm</t>
  </si>
  <si>
    <t>15 tm</t>
  </si>
  <si>
    <t>X=</t>
  </si>
  <si>
    <t>X1=</t>
  </si>
  <si>
    <t>X2=</t>
  </si>
  <si>
    <t>Y1=</t>
  </si>
  <si>
    <t>Y2=</t>
  </si>
  <si>
    <t>Y=</t>
  </si>
  <si>
    <t>H16</t>
  </si>
  <si>
    <t>I16</t>
  </si>
  <si>
    <t>12 tm</t>
  </si>
  <si>
    <t>1,5 tm</t>
  </si>
  <si>
    <t>interpolacion lineal</t>
  </si>
  <si>
    <t>FLOR-AMARILLO</t>
  </si>
  <si>
    <t>GUACARA</t>
  </si>
  <si>
    <t>MCAY NOR-OESTE</t>
  </si>
  <si>
    <t>MCAY SUR-ESTE</t>
  </si>
  <si>
    <t>MCAY SUR-OESTE</t>
  </si>
  <si>
    <t>VAL NOR-ESTE</t>
  </si>
  <si>
    <t>VAL NOR-OESTE</t>
  </si>
  <si>
    <t>VAL SUR-ESTE</t>
  </si>
  <si>
    <t>VAL SUR-OESTE</t>
  </si>
  <si>
    <t>EL CAMINO DE DIOS</t>
  </si>
  <si>
    <t>SIQUISIQUE</t>
  </si>
  <si>
    <t>Promedio de vida caucho</t>
  </si>
  <si>
    <t>km</t>
  </si>
  <si>
    <t>Cantidad de viajes caucho</t>
  </si>
  <si>
    <t>Nro. De cauchos tanque</t>
  </si>
  <si>
    <t>Viajes x semana</t>
  </si>
  <si>
    <t>Viajes x año</t>
  </si>
  <si>
    <t>Cambio de cauchos anual</t>
  </si>
  <si>
    <t>Costo de caucho USD</t>
  </si>
  <si>
    <t xml:space="preserve">Total </t>
  </si>
  <si>
    <t>Anual cauchos</t>
  </si>
  <si>
    <t>GASOIL</t>
  </si>
  <si>
    <t>CAUCHOS</t>
  </si>
  <si>
    <t>KM</t>
  </si>
  <si>
    <t>VIAJES</t>
  </si>
  <si>
    <t>VIAJES PROMEDIO</t>
  </si>
  <si>
    <t>CAMBIO</t>
  </si>
  <si>
    <t>USD TOTAL</t>
  </si>
  <si>
    <t>Viaje Chivacoa/Maracay</t>
  </si>
  <si>
    <t>Prom. X litro c/km</t>
  </si>
  <si>
    <t>Costo combustible x Viaje</t>
  </si>
  <si>
    <t>Costo gasoil anual</t>
  </si>
  <si>
    <t>GOMAS</t>
  </si>
  <si>
    <t>TARIFA = C.FIJO+C.VAR(DISTANCIA)</t>
  </si>
  <si>
    <t>Precio de Goma nitrilo</t>
  </si>
  <si>
    <t>Cantidad de goma x tanque</t>
  </si>
  <si>
    <t>GOMA</t>
  </si>
  <si>
    <t>Cambio x año</t>
  </si>
  <si>
    <t>VECES</t>
  </si>
  <si>
    <t xml:space="preserve">Costo anual </t>
  </si>
  <si>
    <t>Servicio Eléctrico</t>
  </si>
  <si>
    <t>Personal</t>
  </si>
  <si>
    <t>Gastos Operativos</t>
  </si>
  <si>
    <t>Agua</t>
  </si>
  <si>
    <t>Viajes promedio anual</t>
  </si>
  <si>
    <t>Cauchos</t>
  </si>
  <si>
    <t>CADA KM</t>
  </si>
  <si>
    <t>Gasoil</t>
  </si>
  <si>
    <t>Gomas</t>
  </si>
  <si>
    <t>CF</t>
  </si>
  <si>
    <t>Flete Chivacoa/Maracay</t>
  </si>
  <si>
    <t>COSTOS FIJOS (APROX.)</t>
  </si>
  <si>
    <t>MULTISERVICIOS CORREDOR CAC, C.A.</t>
  </si>
  <si>
    <t>$/KG</t>
  </si>
  <si>
    <t>Tasa</t>
  </si>
  <si>
    <t>FACTOR Bs/k</t>
  </si>
  <si>
    <t xml:space="preserve">TRANSPORTE Y AGENTE ADUANAL JM C.A. </t>
  </si>
  <si>
    <t>YARITAGUA</t>
  </si>
  <si>
    <t>MICHELENA</t>
  </si>
  <si>
    <t>COMERCIALIZADORA Y TRANSPORTE ARGENIS &amp; ARCADIO C.A</t>
  </si>
  <si>
    <t>CHARALLAVE</t>
  </si>
  <si>
    <t>TRANSPORTE VIVIANA J&amp;P 2024, C.A.</t>
  </si>
  <si>
    <t>TUCACAS</t>
  </si>
  <si>
    <t>VARGAS LITORAL</t>
  </si>
  <si>
    <t>En vehículos con capacidad de 2.5 a 6 tm, el pago por reparto es de $ 6. Por encima de esa capacidad sera el 20% del flete.</t>
  </si>
  <si>
    <t>TINACO/TINAQUILLO</t>
  </si>
  <si>
    <t>OCUMARE COSTA</t>
  </si>
  <si>
    <t>5T CALETA</t>
  </si>
  <si>
    <t>10T CALETA</t>
  </si>
  <si>
    <t>INVERSIONES FLOTRANS 2019</t>
  </si>
  <si>
    <t>capacidad</t>
  </si>
  <si>
    <t>tasa</t>
  </si>
  <si>
    <t>CAPACIDAD</t>
  </si>
  <si>
    <t>TOTAL BS</t>
  </si>
  <si>
    <t>TOTAL USD:</t>
  </si>
  <si>
    <t>TRANSPORTISTA:</t>
  </si>
  <si>
    <t>HIGUEROTE</t>
  </si>
  <si>
    <t>TABULADOR + IMPACTO</t>
  </si>
  <si>
    <t>1,5 TM</t>
  </si>
  <si>
    <t>TRANSPORTE MULTICOLOR 201</t>
  </si>
  <si>
    <t>INVERSIONES JAVIER PAEZ F.P.</t>
  </si>
  <si>
    <t>REPUESTOS Y SERVICIOS VILORIARCA</t>
  </si>
  <si>
    <t>GUIA</t>
  </si>
  <si>
    <t>TRANSPORTE ANDINO 2023, C.A.</t>
  </si>
  <si>
    <t>TRANSPORTE SAMAN DE GÜERE</t>
  </si>
  <si>
    <t>CAGUA</t>
  </si>
  <si>
    <t>TURMERO</t>
  </si>
  <si>
    <t>MARIARA</t>
  </si>
  <si>
    <t>SAN JOAQUIN</t>
  </si>
  <si>
    <t>LOS GUAYOS</t>
  </si>
  <si>
    <t>FLOR AMARILLO</t>
  </si>
  <si>
    <t>GUIGUE</t>
  </si>
  <si>
    <t>CENTRAL TACARIGUA</t>
  </si>
  <si>
    <t>MAMPOTE</t>
  </si>
  <si>
    <t>GUARENAS</t>
  </si>
  <si>
    <t>GUATIRE</t>
  </si>
  <si>
    <t>TUCUPIDO</t>
  </si>
  <si>
    <t>ZARAZA</t>
  </si>
  <si>
    <t>CHABASQUEN</t>
  </si>
  <si>
    <t>BISCUCUY</t>
  </si>
  <si>
    <t>BEJUMA</t>
  </si>
  <si>
    <t>NIRGUA</t>
  </si>
  <si>
    <t>EL TOCUYO</t>
  </si>
  <si>
    <t>CARORA</t>
  </si>
  <si>
    <t>VALERA</t>
  </si>
  <si>
    <t>TRUJILLO</t>
  </si>
  <si>
    <t>TRANSPORTE ELIAGNYS PAEZ</t>
  </si>
  <si>
    <t>FLETE SECUNDARIO</t>
  </si>
  <si>
    <t>Flete sec.</t>
  </si>
  <si>
    <t>Flete sec. N</t>
  </si>
  <si>
    <t>AGROPECUARIA DISALIPRO</t>
  </si>
  <si>
    <t>N° Guia3</t>
  </si>
  <si>
    <t>Harina kg</t>
  </si>
  <si>
    <t>MOLINOS</t>
  </si>
  <si>
    <t>Flete Mol</t>
  </si>
  <si>
    <t>Flete sec Mol</t>
  </si>
  <si>
    <t>Reparto Mol</t>
  </si>
  <si>
    <t>Desv. Mol</t>
  </si>
  <si>
    <t>Fin S. Mol</t>
  </si>
  <si>
    <t>Peaje Mol</t>
  </si>
  <si>
    <t>Mora Mol</t>
  </si>
  <si>
    <t>% PASTA</t>
  </si>
  <si>
    <t>% HARINA</t>
  </si>
  <si>
    <t>MOLVENCA</t>
  </si>
  <si>
    <t>MOLINOS VENEZOLANOS, C.A.</t>
  </si>
  <si>
    <t>J-07503467-8</t>
  </si>
  <si>
    <t>SEC</t>
  </si>
  <si>
    <t>FIN SEM</t>
  </si>
  <si>
    <t>KG HARINA</t>
  </si>
  <si>
    <t>Carabobo</t>
  </si>
  <si>
    <t>Miranda</t>
  </si>
  <si>
    <t>Aragua</t>
  </si>
  <si>
    <t>FLETE 25/11 al 29/11/aa</t>
  </si>
  <si>
    <t>CATANIA HIPERMERCADO (LA BELISA)</t>
  </si>
  <si>
    <t>CATANIA HIPERMERCADO (SUCURSAL CIUDAD ALIANZA)</t>
  </si>
  <si>
    <t>HIPERCANDY DEL CENTRO C.A.</t>
  </si>
  <si>
    <t>INVERSION CENTRAL 2012, C.A</t>
  </si>
  <si>
    <t>ZHIANG CHEN WU</t>
  </si>
  <si>
    <t>DISTRIBUIDORA SAO VICENTE, C.A.</t>
  </si>
  <si>
    <t>JOSE MERIDA</t>
  </si>
  <si>
    <t>TULIO PAEZ</t>
  </si>
  <si>
    <t>RUBEN OROPEZA</t>
  </si>
  <si>
    <t>INVERSIONES LA GUADALUPANA DE VZLA C.A</t>
  </si>
  <si>
    <t>Lara</t>
  </si>
  <si>
    <t>BUENAVENTURA COMERCIAL, C.A</t>
  </si>
  <si>
    <t>COMERCIAL YI 38, C.A</t>
  </si>
  <si>
    <t>CONFITERIA ETERNA, C.A</t>
  </si>
  <si>
    <t>FRIGORIFICO LA PUNTA 2016, C.A</t>
  </si>
  <si>
    <t>MAYOR RKL, C.A.</t>
  </si>
  <si>
    <t>SUPERMERCADO BELLA LOMAS, C.A</t>
  </si>
  <si>
    <t>SUPERMERCADO DEMOCRACIA, C.A</t>
  </si>
  <si>
    <t>SUPERMERCADO VILLA MARYLU, C. A.</t>
  </si>
  <si>
    <t>DISTRIBUIDORA CAYO DE AGUA, C.A</t>
  </si>
  <si>
    <t>DROGUERIA GRACITANA ( CHACAO)</t>
  </si>
  <si>
    <t>Guarico</t>
  </si>
  <si>
    <t>IMPORTADORA DE ALIMENTOS BOLONIA C.</t>
  </si>
  <si>
    <t>PLANSUAREZ ( LA URBINA)</t>
  </si>
  <si>
    <t>SANU CORP C.A</t>
  </si>
  <si>
    <t>TECNI MUNDO 21 C.A.</t>
  </si>
  <si>
    <t>Distrito Federal</t>
  </si>
  <si>
    <t>BOMBONERIA EUROPA I, C.A</t>
  </si>
  <si>
    <t>CANDY GOLD, C.A</t>
  </si>
  <si>
    <t>CATANIA HIPERMERCADO (MARACAY)</t>
  </si>
  <si>
    <t>DISTRIBUIDORA LINA C.A.</t>
  </si>
  <si>
    <t>LA MURALLA, C.A</t>
  </si>
  <si>
    <t>SUMINISTROS FJS 47, C.A</t>
  </si>
  <si>
    <t>JOSE PAEZ</t>
  </si>
  <si>
    <t>MANUEL LARA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</si>
</sst>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 * #,##0.00_ ;_ * \-#,##0.00_ ;_ * &quot;-&quot;??_ ;_ @_ "/>
    <numFmt numFmtId="164" formatCode="_ &quot;Bs.S&quot;\ * #,##0.00_ ;_ &quot;Bs.S&quot;\ * \-#,##0.00_ ;_ &quot;Bs.S&quot;\ * &quot;-&quot;??_ ;_ @_ "/>
    <numFmt numFmtId="165" formatCode="_-* #,##0.00\ _€_-;\-* #,##0.00\ _€_-;_-* &quot;-&quot;??\ _€_-;_-@_-"/>
    <numFmt numFmtId="166" formatCode="_ &quot;Bs. F&quot;\ * #,##0.00_ ;_ &quot;Bs. F&quot;\ * \-#,##0.00_ ;_ &quot;Bs. F&quot;\ * &quot;-&quot;??_ ;_ @_ "/>
    <numFmt numFmtId="167" formatCode="_ &quot;Bs&quot;\ * #,##0.00_ ;_ &quot;Bs&quot;\ * \-#,##0.00_ ;_ &quot;Bs&quot;\ * &quot;-&quot;??_ ;_ @_ "/>
    <numFmt numFmtId="168" formatCode="[$-200A]General"/>
    <numFmt numFmtId="169" formatCode="[$-200A]0%"/>
    <numFmt numFmtId="170" formatCode="#,##0.00&quot; &quot;;&quot; -&quot;#,##0.00&quot; &quot;;&quot; -&quot;#&quot; &quot;;@&quot; &quot;"/>
    <numFmt numFmtId="171" formatCode="[$BsF-200A]#,##0.00;[Red][$BsF-200A]&quot;-&quot;#,##0.00"/>
    <numFmt numFmtId="172" formatCode="&quot;Bs. F&quot;\ #,##0.00"/>
    <numFmt numFmtId="173" formatCode="[$-F800]dddd\,\ mmmm\ dd\,\ yyyy"/>
    <numFmt numFmtId="174" formatCode="_ * #,##0_ ;_ * \-#,##0_ ;_ * &quot;-&quot;??_ ;_ @_ "/>
    <numFmt numFmtId="175" formatCode="dd/mm/yy"/>
    <numFmt numFmtId="176" formatCode="0.0"/>
    <numFmt numFmtId="177" formatCode="0.000"/>
    <numFmt numFmtId="178" formatCode="_ * #,##0.0_ ;_ * \-#,##0.0_ ;_ * &quot;-&quot;??_ ;_ @_ "/>
    <numFmt numFmtId="179" formatCode="0.0000"/>
  </numFmts>
  <fonts count="84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b/>
      <i/>
      <sz val="16"/>
      <color theme="1"/>
      <name val="Arial"/>
      <family val="2"/>
    </font>
    <font>
      <u/>
      <sz val="11"/>
      <color theme="10"/>
      <name val="Arial"/>
      <family val="2"/>
    </font>
    <font>
      <sz val="11"/>
      <color rgb="FF000000"/>
      <name val="Calibri1"/>
    </font>
    <font>
      <sz val="10"/>
      <color rgb="FF000000"/>
      <name val="Arial"/>
      <family val="2"/>
    </font>
    <font>
      <b/>
      <i/>
      <u/>
      <sz val="11"/>
      <color theme="1"/>
      <name val="Arial"/>
      <family val="2"/>
    </font>
    <font>
      <b/>
      <sz val="11"/>
      <color indexed="8"/>
      <name val="Arial"/>
      <family val="2"/>
    </font>
    <font>
      <b/>
      <sz val="11"/>
      <color rgb="FF000000"/>
      <name val="Arial"/>
      <family val="2"/>
    </font>
    <font>
      <sz val="10"/>
      <name val="Lohit Hindi"/>
      <family val="2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2"/>
      <name val="Times New Roman"/>
      <family val="1"/>
    </font>
    <font>
      <b/>
      <sz val="12"/>
      <color theme="0"/>
      <name val="Times New Roman"/>
      <family val="1"/>
    </font>
    <font>
      <sz val="12"/>
      <name val="Times New Roman"/>
      <family val="1"/>
    </font>
    <font>
      <b/>
      <sz val="10"/>
      <color theme="0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0"/>
      <color rgb="FF000000"/>
      <name val="Times New Roman"/>
      <family val="1"/>
    </font>
    <font>
      <sz val="9"/>
      <color theme="1"/>
      <name val="Arial"/>
      <family val="2"/>
    </font>
    <font>
      <b/>
      <sz val="11"/>
      <name val="Arial"/>
      <family val="2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b/>
      <sz val="11"/>
      <color theme="1"/>
      <name val="Arial Narrow"/>
      <family val="2"/>
    </font>
    <font>
      <sz val="11"/>
      <name val="Arial Narrow"/>
      <family val="2"/>
    </font>
    <font>
      <b/>
      <i/>
      <sz val="14"/>
      <name val="Arial"/>
      <family val="2"/>
    </font>
    <font>
      <b/>
      <i/>
      <sz val="10"/>
      <name val="Arial"/>
      <family val="2"/>
    </font>
    <font>
      <b/>
      <sz val="8"/>
      <color indexed="8"/>
      <name val="Calibri"/>
      <family val="2"/>
    </font>
    <font>
      <b/>
      <sz val="8"/>
      <color theme="1"/>
      <name val="Arial Narrow"/>
      <family val="2"/>
    </font>
    <font>
      <b/>
      <sz val="12"/>
      <color theme="0" tint="0.79998168889431442"/>
      <name val="Arial"/>
      <family val="2"/>
    </font>
    <font>
      <sz val="14"/>
      <color rgb="FF2D3E50"/>
      <name val="Courier New"/>
      <family val="3"/>
    </font>
    <font>
      <sz val="14"/>
      <color rgb="FF000000"/>
      <name val="Arial"/>
      <family val="2"/>
    </font>
    <font>
      <b/>
      <i/>
      <sz val="10"/>
      <color theme="3"/>
      <name val="Batang"/>
      <family val="1"/>
    </font>
    <font>
      <b/>
      <sz val="10"/>
      <name val="Comic Sans MS"/>
      <family val="4"/>
    </font>
    <font>
      <b/>
      <i/>
      <sz val="10"/>
      <color theme="3"/>
      <name val="Arial"/>
      <family val="2"/>
    </font>
    <font>
      <b/>
      <i/>
      <sz val="10"/>
      <color theme="3" tint="-0.499984740745262"/>
      <name val="Arial"/>
      <family val="2"/>
    </font>
    <font>
      <b/>
      <i/>
      <sz val="14"/>
      <color rgb="FFFFFF00"/>
      <name val="Arial"/>
      <family val="2"/>
    </font>
    <font>
      <b/>
      <sz val="16"/>
      <name val="Adobe Heiti Std R"/>
      <family val="2"/>
      <charset val="128"/>
    </font>
    <font>
      <sz val="10"/>
      <color theme="0"/>
      <name val="Arial"/>
      <family val="2"/>
    </font>
    <font>
      <sz val="9"/>
      <color theme="0"/>
      <name val="Arial"/>
      <family val="2"/>
    </font>
    <font>
      <sz val="11"/>
      <color theme="0"/>
      <name val="Arial"/>
      <family val="2"/>
    </font>
    <font>
      <b/>
      <sz val="9"/>
      <name val="Arial"/>
      <family val="2"/>
    </font>
    <font>
      <b/>
      <sz val="14"/>
      <color theme="3" tint="-0.499984740745262"/>
      <name val="Arial"/>
      <family val="2"/>
    </font>
    <font>
      <b/>
      <sz val="14"/>
      <color theme="5" tint="-0.499984740745262"/>
      <name val="Arial"/>
      <family val="2"/>
    </font>
    <font>
      <b/>
      <i/>
      <sz val="16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name val="Arial"/>
      <family val="2"/>
    </font>
    <font>
      <sz val="12"/>
      <name val="David"/>
      <family val="2"/>
      <charset val="177"/>
    </font>
    <font>
      <sz val="11"/>
      <name val="Calibri"/>
      <family val="2"/>
    </font>
    <font>
      <b/>
      <sz val="11"/>
      <name val="Calibri"/>
      <family val="2"/>
    </font>
    <font>
      <b/>
      <u/>
      <sz val="11"/>
      <name val="Calibri"/>
      <family val="2"/>
    </font>
    <font>
      <sz val="11"/>
      <color rgb="FF1F497D"/>
      <name val="Calibri"/>
      <family val="2"/>
    </font>
    <font>
      <sz val="9"/>
      <color theme="1"/>
      <name val="Arial Narrow"/>
      <family val="2"/>
    </font>
    <font>
      <b/>
      <i/>
      <sz val="1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i/>
      <sz val="9"/>
      <name val="Arial"/>
      <family val="2"/>
    </font>
    <font>
      <b/>
      <i/>
      <sz val="9"/>
      <color theme="3"/>
      <name val="Batang"/>
      <family val="1"/>
    </font>
    <font>
      <sz val="12"/>
      <color theme="1"/>
      <name val="Arial"/>
      <family val="2"/>
    </font>
    <font>
      <b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99"/>
        <bgColor rgb="FFFFFF99"/>
      </patternFill>
    </fill>
    <fill>
      <patternFill patternType="solid">
        <fgColor indexed="17"/>
        <bgColor indexed="57"/>
      </patternFill>
    </fill>
    <fill>
      <patternFill patternType="solid">
        <fgColor rgb="FF008000"/>
        <bgColor rgb="FF008000"/>
      </patternFill>
    </fill>
    <fill>
      <patternFill patternType="solid">
        <fgColor indexed="11"/>
        <bgColor indexed="34"/>
      </patternFill>
    </fill>
    <fill>
      <patternFill patternType="solid">
        <fgColor rgb="FF00FF00"/>
        <bgColor rgb="FF00FF00"/>
      </patternFill>
    </fill>
    <fill>
      <patternFill patternType="solid">
        <fgColor indexed="10"/>
        <bgColor indexed="3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125">
        <fgColor theme="3" tint="-0.24994659260841701"/>
        <bgColor theme="9" tint="0.79998168889431442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gray125">
        <fgColor theme="3" tint="-0.24994659260841701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gray125">
        <fgColor theme="3" tint="-0.24994659260841701"/>
        <bgColor theme="6" tint="0.5999938962981048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23"/>
      </bottom>
      <diagonal/>
    </border>
    <border>
      <left/>
      <right/>
      <top/>
      <bottom style="thin">
        <color rgb="FF808080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3" tint="-0.24994659260841701"/>
      </left>
      <right style="thin">
        <color theme="3" tint="-0.24994659260841701"/>
      </right>
      <top style="double">
        <color theme="3" tint="-0.24994659260841701"/>
      </top>
      <bottom style="double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double">
        <color theme="3" tint="-0.24994659260841701"/>
      </top>
      <bottom style="double">
        <color theme="3" tint="-0.24994659260841701"/>
      </bottom>
      <diagonal/>
    </border>
    <border>
      <left style="thin">
        <color theme="3" tint="-0.24994659260841701"/>
      </left>
      <right style="double">
        <color theme="3" tint="-0.24994659260841701"/>
      </right>
      <top style="double">
        <color theme="3" tint="-0.24994659260841701"/>
      </top>
      <bottom style="double">
        <color theme="3" tint="-0.24994659260841701"/>
      </bottom>
      <diagonal/>
    </border>
    <border>
      <left style="double">
        <color theme="3" tint="-0.24994659260841701"/>
      </left>
      <right style="thin">
        <color theme="3" tint="-0.24994659260841701"/>
      </right>
      <top style="double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double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double">
        <color theme="3" tint="-0.24994659260841701"/>
      </right>
      <top style="double">
        <color theme="3" tint="-0.24994659260841701"/>
      </top>
      <bottom style="thin">
        <color theme="3" tint="-0.24994659260841701"/>
      </bottom>
      <diagonal/>
    </border>
    <border>
      <left style="double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double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double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double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double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double">
        <color theme="3" tint="-0.24994659260841701"/>
      </bottom>
      <diagonal/>
    </border>
    <border>
      <left style="thin">
        <color theme="3" tint="-0.24994659260841701"/>
      </left>
      <right style="double">
        <color theme="3" tint="-0.24994659260841701"/>
      </right>
      <top style="thin">
        <color theme="3" tint="-0.24994659260841701"/>
      </top>
      <bottom style="double">
        <color theme="3" tint="-0.24994659260841701"/>
      </bottom>
      <diagonal/>
    </border>
    <border>
      <left style="medium">
        <color theme="3" tint="-0.24994659260841701"/>
      </left>
      <right style="medium">
        <color theme="3" tint="-0.24994659260841701"/>
      </right>
      <top style="double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theme="0" tint="-0.34998626667073579"/>
      </left>
      <right style="dotted">
        <color theme="0" tint="-0.34998626667073579"/>
      </right>
      <top style="thin">
        <color indexed="64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dotted">
        <color theme="0" tint="-0.34998626667073579"/>
      </right>
      <top style="thin">
        <color indexed="64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dotted">
        <color theme="0" tint="-0.34998626667073579"/>
      </right>
      <top style="dotted">
        <color theme="0" tint="-0.34998626667073579"/>
      </top>
      <bottom style="thin">
        <color auto="1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thin">
        <color auto="1"/>
      </bottom>
      <diagonal/>
    </border>
    <border>
      <left style="dotted">
        <color theme="0" tint="-0.34998626667073579"/>
      </left>
      <right style="thin">
        <color auto="1"/>
      </right>
      <top style="dotted">
        <color theme="0" tint="-0.3499862666707357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tted">
        <color theme="0" tint="-0.34998626667073579"/>
      </right>
      <top style="thin">
        <color indexed="64"/>
      </top>
      <bottom style="dotted">
        <color theme="0" tint="-0.34998626667073579"/>
      </bottom>
      <diagonal/>
    </border>
    <border>
      <left/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dotted">
        <color theme="0" tint="-0.34998626667073579"/>
      </right>
      <top style="dotted">
        <color theme="0" tint="-0.34998626667073579"/>
      </top>
      <bottom style="thin">
        <color auto="1"/>
      </bottom>
      <diagonal/>
    </border>
  </borders>
  <cellStyleXfs count="60">
    <xf numFmtId="0" fontId="0" fillId="0" borderId="0"/>
    <xf numFmtId="43" fontId="2" fillId="0" borderId="0" applyFont="0" applyFill="0" applyBorder="0" applyAlignment="0" applyProtection="0"/>
    <xf numFmtId="43" fontId="3" fillId="0" borderId="0" applyFill="0" applyBorder="0" applyAlignment="0" applyProtection="0"/>
    <xf numFmtId="0" fontId="6" fillId="2" borderId="0"/>
    <xf numFmtId="0" fontId="7" fillId="0" borderId="0"/>
    <xf numFmtId="0" fontId="8" fillId="0" borderId="0"/>
    <xf numFmtId="0" fontId="8" fillId="0" borderId="0"/>
    <xf numFmtId="168" fontId="7" fillId="0" borderId="0"/>
    <xf numFmtId="0" fontId="8" fillId="0" borderId="0"/>
    <xf numFmtId="168" fontId="7" fillId="0" borderId="0"/>
    <xf numFmtId="169" fontId="7" fillId="0" borderId="0"/>
    <xf numFmtId="0" fontId="9" fillId="0" borderId="0">
      <alignment horizontal="center"/>
    </xf>
    <xf numFmtId="0" fontId="9" fillId="0" borderId="0">
      <alignment horizontal="center" textRotation="90"/>
    </xf>
    <xf numFmtId="0" fontId="10" fillId="0" borderId="0" applyNumberFormat="0" applyFill="0" applyBorder="0" applyAlignment="0" applyProtection="0"/>
    <xf numFmtId="170" fontId="11" fillId="0" borderId="0"/>
    <xf numFmtId="165" fontId="6" fillId="0" borderId="0" applyFont="0" applyFill="0" applyBorder="0" applyAlignment="0" applyProtection="0"/>
    <xf numFmtId="43" fontId="3" fillId="0" borderId="0" applyFill="0" applyBorder="0" applyAlignment="0" applyProtection="0"/>
    <xf numFmtId="0" fontId="8" fillId="0" borderId="0"/>
    <xf numFmtId="168" fontId="7" fillId="0" borderId="0"/>
    <xf numFmtId="0" fontId="3" fillId="0" borderId="0"/>
    <xf numFmtId="168" fontId="12" fillId="0" borderId="0"/>
    <xf numFmtId="0" fontId="3" fillId="0" borderId="0"/>
    <xf numFmtId="0" fontId="7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5" fillId="0" borderId="0"/>
    <xf numFmtId="0" fontId="6" fillId="0" borderId="0"/>
    <xf numFmtId="0" fontId="8" fillId="0" borderId="0"/>
    <xf numFmtId="168" fontId="7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3" fillId="0" borderId="0"/>
    <xf numFmtId="171" fontId="13" fillId="0" borderId="0"/>
    <xf numFmtId="0" fontId="14" fillId="0" borderId="7">
      <alignment horizontal="left" vertical="center" indent="1"/>
    </xf>
    <xf numFmtId="168" fontId="15" fillId="0" borderId="8">
      <alignment horizontal="left" vertical="center" indent="1"/>
    </xf>
    <xf numFmtId="0" fontId="16" fillId="3" borderId="0" applyNumberFormat="0" applyBorder="0" applyAlignment="0" applyProtection="0"/>
    <xf numFmtId="0" fontId="6" fillId="4" borderId="0"/>
    <xf numFmtId="0" fontId="16" fillId="3" borderId="0" applyNumberFormat="0" applyBorder="0" applyAlignment="0" applyProtection="0"/>
    <xf numFmtId="0" fontId="6" fillId="4" borderId="0"/>
    <xf numFmtId="0" fontId="16" fillId="5" borderId="0" applyNumberFormat="0" applyBorder="0" applyAlignment="0" applyProtection="0"/>
    <xf numFmtId="0" fontId="6" fillId="6" borderId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7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1" fillId="0" borderId="0" applyFont="0" applyFill="0" applyBorder="0" applyAlignment="0" applyProtection="0"/>
    <xf numFmtId="0" fontId="1" fillId="0" borderId="0"/>
    <xf numFmtId="43" fontId="3" fillId="0" borderId="0" applyFill="0" applyBorder="0" applyAlignment="0" applyProtection="0"/>
    <xf numFmtId="0" fontId="1" fillId="0" borderId="0"/>
    <xf numFmtId="0" fontId="38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80">
    <xf numFmtId="0" fontId="0" fillId="0" borderId="0" xfId="0"/>
    <xf numFmtId="0" fontId="19" fillId="0" borderId="0" xfId="0" applyFont="1"/>
    <xf numFmtId="0" fontId="20" fillId="0" borderId="0" xfId="0" applyFont="1"/>
    <xf numFmtId="0" fontId="4" fillId="8" borderId="12" xfId="0" applyFont="1" applyFill="1" applyBorder="1" applyAlignment="1">
      <alignment horizontal="center" vertical="center" wrapText="1"/>
    </xf>
    <xf numFmtId="172" fontId="23" fillId="0" borderId="0" xfId="0" applyNumberFormat="1" applyFont="1"/>
    <xf numFmtId="43" fontId="23" fillId="0" borderId="0" xfId="2" applyFont="1"/>
    <xf numFmtId="172" fontId="0" fillId="0" borderId="0" xfId="0" applyNumberFormat="1"/>
    <xf numFmtId="0" fontId="24" fillId="0" borderId="0" xfId="0" applyFont="1" applyAlignment="1">
      <alignment vertical="center"/>
    </xf>
    <xf numFmtId="174" fontId="0" fillId="0" borderId="0" xfId="5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7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43" fontId="0" fillId="0" borderId="0" xfId="0" applyNumberFormat="1" applyAlignment="1">
      <alignment vertical="center"/>
    </xf>
    <xf numFmtId="174" fontId="4" fillId="0" borderId="0" xfId="50" applyNumberFormat="1" applyFont="1" applyAlignment="1">
      <alignment vertical="center"/>
    </xf>
    <xf numFmtId="167" fontId="4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166" fontId="28" fillId="0" borderId="0" xfId="0" applyNumberFormat="1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1" xfId="0" applyFont="1" applyBorder="1" applyAlignment="1">
      <alignment horizontal="right" vertical="center"/>
    </xf>
    <xf numFmtId="43" fontId="31" fillId="12" borderId="6" xfId="50" applyFont="1" applyFill="1" applyBorder="1" applyAlignment="1">
      <alignment horizontal="left" vertical="center"/>
    </xf>
    <xf numFmtId="43" fontId="31" fillId="10" borderId="6" xfId="50" applyFont="1" applyFill="1" applyBorder="1" applyAlignment="1">
      <alignment horizontal="center" vertical="center"/>
    </xf>
    <xf numFmtId="43" fontId="32" fillId="0" borderId="0" xfId="50" applyFont="1" applyAlignment="1">
      <alignment vertical="center"/>
    </xf>
    <xf numFmtId="0" fontId="33" fillId="0" borderId="0" xfId="8" applyFont="1" applyAlignment="1">
      <alignment horizontal="left"/>
    </xf>
    <xf numFmtId="0" fontId="34" fillId="0" borderId="0" xfId="8" applyFont="1" applyAlignment="1">
      <alignment horizontal="right"/>
    </xf>
    <xf numFmtId="1" fontId="36" fillId="0" borderId="6" xfId="8" applyNumberFormat="1" applyFont="1" applyBorder="1" applyAlignment="1">
      <alignment horizontal="right"/>
    </xf>
    <xf numFmtId="1" fontId="26" fillId="0" borderId="6" xfId="2" applyNumberFormat="1" applyFont="1" applyFill="1" applyBorder="1" applyAlignment="1">
      <alignment horizontal="right" vertical="center"/>
    </xf>
    <xf numFmtId="1" fontId="26" fillId="0" borderId="6" xfId="19" applyNumberFormat="1" applyFont="1" applyBorder="1" applyAlignment="1">
      <alignment horizontal="right"/>
    </xf>
    <xf numFmtId="1" fontId="0" fillId="0" borderId="0" xfId="0" applyNumberFormat="1" applyAlignment="1">
      <alignment vertical="center"/>
    </xf>
    <xf numFmtId="1" fontId="32" fillId="0" borderId="0" xfId="50" applyNumberFormat="1" applyFont="1" applyAlignment="1">
      <alignment vertical="center"/>
    </xf>
    <xf numFmtId="1" fontId="28" fillId="0" borderId="0" xfId="0" applyNumberFormat="1" applyFont="1" applyAlignment="1">
      <alignment vertical="center"/>
    </xf>
    <xf numFmtId="0" fontId="0" fillId="0" borderId="0" xfId="0" applyAlignment="1">
      <alignment horizontal="left" vertical="top"/>
    </xf>
    <xf numFmtId="43" fontId="29" fillId="0" borderId="0" xfId="50" applyFont="1" applyAlignment="1">
      <alignment vertical="center"/>
    </xf>
    <xf numFmtId="43" fontId="0" fillId="0" borderId="0" xfId="50" applyFont="1" applyAlignment="1">
      <alignment vertical="center"/>
    </xf>
    <xf numFmtId="43" fontId="4" fillId="0" borderId="0" xfId="50" applyFont="1" applyAlignment="1">
      <alignment vertical="center"/>
    </xf>
    <xf numFmtId="0" fontId="30" fillId="0" borderId="4" xfId="0" applyFont="1" applyBorder="1" applyAlignment="1">
      <alignment horizontal="center" vertical="center"/>
    </xf>
    <xf numFmtId="43" fontId="29" fillId="0" borderId="0" xfId="0" applyNumberFormat="1" applyFont="1" applyAlignment="1">
      <alignment vertical="center"/>
    </xf>
    <xf numFmtId="0" fontId="34" fillId="0" borderId="0" xfId="8" applyFont="1"/>
    <xf numFmtId="0" fontId="41" fillId="0" borderId="0" xfId="0" applyFont="1" applyAlignment="1">
      <alignment vertical="center"/>
    </xf>
    <xf numFmtId="0" fontId="41" fillId="8" borderId="6" xfId="0" applyFont="1" applyFill="1" applyBorder="1" applyAlignment="1">
      <alignment horizontal="center" vertical="center"/>
    </xf>
    <xf numFmtId="0" fontId="41" fillId="0" borderId="6" xfId="0" applyFont="1" applyBorder="1" applyAlignment="1">
      <alignment vertical="center" wrapText="1"/>
    </xf>
    <xf numFmtId="0" fontId="41" fillId="0" borderId="6" xfId="0" applyFont="1" applyBorder="1" applyAlignment="1">
      <alignment horizontal="center" vertical="center"/>
    </xf>
    <xf numFmtId="0" fontId="43" fillId="8" borderId="6" xfId="0" applyFont="1" applyFill="1" applyBorder="1" applyAlignment="1">
      <alignment horizontal="center" vertical="center"/>
    </xf>
    <xf numFmtId="43" fontId="0" fillId="0" borderId="6" xfId="0" applyNumberFormat="1" applyBorder="1"/>
    <xf numFmtId="0" fontId="41" fillId="8" borderId="6" xfId="0" applyFont="1" applyFill="1" applyBorder="1" applyAlignment="1">
      <alignment horizontal="center"/>
    </xf>
    <xf numFmtId="3" fontId="41" fillId="0" borderId="6" xfId="0" applyNumberFormat="1" applyFont="1" applyBorder="1" applyAlignment="1">
      <alignment horizontal="center"/>
    </xf>
    <xf numFmtId="43" fontId="42" fillId="0" borderId="0" xfId="50" applyFont="1" applyAlignment="1">
      <alignment vertical="center"/>
    </xf>
    <xf numFmtId="43" fontId="0" fillId="0" borderId="0" xfId="50" applyFont="1" applyAlignment="1">
      <alignment horizontal="center" vertical="center"/>
    </xf>
    <xf numFmtId="43" fontId="40" fillId="0" borderId="0" xfId="50" applyFont="1" applyAlignment="1">
      <alignment vertical="center"/>
    </xf>
    <xf numFmtId="43" fontId="4" fillId="0" borderId="0" xfId="50" applyFont="1" applyAlignment="1">
      <alignment horizontal="center" vertical="center"/>
    </xf>
    <xf numFmtId="164" fontId="30" fillId="0" borderId="5" xfId="0" applyNumberFormat="1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30" fillId="0" borderId="5" xfId="0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43" fontId="28" fillId="0" borderId="2" xfId="50" applyFont="1" applyBorder="1" applyAlignment="1">
      <alignment horizontal="left" vertical="center"/>
    </xf>
    <xf numFmtId="0" fontId="30" fillId="0" borderId="1" xfId="0" applyFont="1" applyBorder="1" applyAlignment="1">
      <alignment horizontal="left" vertical="center"/>
    </xf>
    <xf numFmtId="43" fontId="30" fillId="0" borderId="15" xfId="50" applyFont="1" applyBorder="1" applyAlignment="1">
      <alignment horizontal="center" vertical="center"/>
    </xf>
    <xf numFmtId="43" fontId="30" fillId="0" borderId="15" xfId="50" applyFont="1" applyBorder="1" applyAlignment="1">
      <alignment horizontal="left" vertical="center"/>
    </xf>
    <xf numFmtId="43" fontId="23" fillId="0" borderId="0" xfId="50" applyFont="1"/>
    <xf numFmtId="176" fontId="36" fillId="0" borderId="6" xfId="8" applyNumberFormat="1" applyFont="1" applyBorder="1" applyAlignment="1">
      <alignment horizontal="right"/>
    </xf>
    <xf numFmtId="3" fontId="41" fillId="0" borderId="0" xfId="0" applyNumberFormat="1" applyFont="1" applyAlignment="1">
      <alignment horizontal="center"/>
    </xf>
    <xf numFmtId="0" fontId="45" fillId="0" borderId="0" xfId="0" applyFont="1" applyAlignment="1">
      <alignment vertical="center"/>
    </xf>
    <xf numFmtId="0" fontId="41" fillId="0" borderId="6" xfId="0" applyFont="1" applyBorder="1" applyAlignment="1">
      <alignment vertical="center"/>
    </xf>
    <xf numFmtId="0" fontId="44" fillId="0" borderId="6" xfId="0" applyFont="1" applyBorder="1" applyAlignment="1">
      <alignment vertical="center"/>
    </xf>
    <xf numFmtId="49" fontId="37" fillId="0" borderId="0" xfId="5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 vertical="center"/>
    </xf>
    <xf numFmtId="1" fontId="32" fillId="0" borderId="0" xfId="50" applyNumberFormat="1" applyFont="1" applyAlignment="1">
      <alignment horizontal="center" vertical="center"/>
    </xf>
    <xf numFmtId="0" fontId="47" fillId="9" borderId="6" xfId="8" applyFont="1" applyFill="1" applyBorder="1" applyAlignment="1">
      <alignment horizontal="center" vertical="center"/>
    </xf>
    <xf numFmtId="3" fontId="48" fillId="9" borderId="6" xfId="0" applyNumberFormat="1" applyFont="1" applyFill="1" applyBorder="1" applyAlignment="1">
      <alignment horizontal="center" vertical="center"/>
    </xf>
    <xf numFmtId="0" fontId="24" fillId="9" borderId="6" xfId="0" applyFont="1" applyFill="1" applyBorder="1" applyAlignment="1">
      <alignment horizontal="center" vertical="center"/>
    </xf>
    <xf numFmtId="0" fontId="47" fillId="0" borderId="6" xfId="8" applyFont="1" applyBorder="1" applyAlignment="1">
      <alignment horizontal="center"/>
    </xf>
    <xf numFmtId="3" fontId="48" fillId="0" borderId="6" xfId="0" applyNumberFormat="1" applyFont="1" applyBorder="1" applyAlignment="1">
      <alignment horizontal="center" vertical="center"/>
    </xf>
    <xf numFmtId="174" fontId="3" fillId="8" borderId="16" xfId="2" applyNumberFormat="1" applyFill="1" applyBorder="1" applyAlignment="1">
      <alignment vertical="center"/>
    </xf>
    <xf numFmtId="43" fontId="0" fillId="0" borderId="0" xfId="0" applyNumberFormat="1"/>
    <xf numFmtId="1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29" fillId="0" borderId="0" xfId="0" applyNumberFormat="1" applyFont="1" applyAlignment="1">
      <alignment vertical="center"/>
    </xf>
    <xf numFmtId="43" fontId="42" fillId="0" borderId="0" xfId="58" applyFont="1" applyFill="1" applyBorder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29" fillId="0" borderId="0" xfId="0" applyNumberFormat="1" applyFont="1" applyAlignment="1">
      <alignment horizontal="center" vertical="center"/>
    </xf>
    <xf numFmtId="43" fontId="28" fillId="0" borderId="0" xfId="50" applyFont="1" applyBorder="1" applyAlignment="1">
      <alignment horizontal="left" vertical="center"/>
    </xf>
    <xf numFmtId="9" fontId="29" fillId="0" borderId="0" xfId="0" applyNumberFormat="1" applyFont="1" applyAlignment="1">
      <alignment horizontal="center" vertical="center"/>
    </xf>
    <xf numFmtId="9" fontId="47" fillId="0" borderId="6" xfId="8" applyNumberFormat="1" applyFont="1" applyBorder="1" applyAlignment="1">
      <alignment horizontal="center"/>
    </xf>
    <xf numFmtId="9" fontId="48" fillId="0" borderId="6" xfId="0" applyNumberFormat="1" applyFont="1" applyBorder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0" fillId="16" borderId="0" xfId="0" applyFill="1"/>
    <xf numFmtId="0" fontId="52" fillId="16" borderId="18" xfId="0" applyFont="1" applyFill="1" applyBorder="1" applyAlignment="1">
      <alignment horizontal="center"/>
    </xf>
    <xf numFmtId="0" fontId="52" fillId="16" borderId="19" xfId="0" applyFont="1" applyFill="1" applyBorder="1" applyAlignment="1">
      <alignment horizontal="center"/>
    </xf>
    <xf numFmtId="0" fontId="52" fillId="16" borderId="20" xfId="0" applyFont="1" applyFill="1" applyBorder="1" applyAlignment="1">
      <alignment horizontal="center"/>
    </xf>
    <xf numFmtId="0" fontId="53" fillId="16" borderId="21" xfId="0" applyFont="1" applyFill="1" applyBorder="1"/>
    <xf numFmtId="0" fontId="53" fillId="16" borderId="22" xfId="0" applyFont="1" applyFill="1" applyBorder="1"/>
    <xf numFmtId="0" fontId="53" fillId="16" borderId="23" xfId="0" applyFont="1" applyFill="1" applyBorder="1"/>
    <xf numFmtId="43" fontId="53" fillId="16" borderId="24" xfId="50" applyFont="1" applyFill="1" applyBorder="1"/>
    <xf numFmtId="0" fontId="53" fillId="16" borderId="25" xfId="0" applyFont="1" applyFill="1" applyBorder="1"/>
    <xf numFmtId="43" fontId="53" fillId="16" borderId="27" xfId="50" applyFont="1" applyFill="1" applyBorder="1"/>
    <xf numFmtId="43" fontId="53" fillId="16" borderId="26" xfId="50" applyFont="1" applyFill="1" applyBorder="1"/>
    <xf numFmtId="0" fontId="53" fillId="16" borderId="28" xfId="0" applyFont="1" applyFill="1" applyBorder="1"/>
    <xf numFmtId="0" fontId="53" fillId="16" borderId="29" xfId="0" applyFont="1" applyFill="1" applyBorder="1"/>
    <xf numFmtId="43" fontId="53" fillId="16" borderId="30" xfId="50" applyFont="1" applyFill="1" applyBorder="1"/>
    <xf numFmtId="0" fontId="54" fillId="16" borderId="31" xfId="0" applyFont="1" applyFill="1" applyBorder="1" applyAlignment="1">
      <alignment horizontal="right"/>
    </xf>
    <xf numFmtId="0" fontId="55" fillId="17" borderId="32" xfId="0" applyFont="1" applyFill="1" applyBorder="1" applyAlignment="1">
      <alignment horizontal="right"/>
    </xf>
    <xf numFmtId="43" fontId="53" fillId="16" borderId="32" xfId="50" applyFont="1" applyFill="1" applyBorder="1"/>
    <xf numFmtId="0" fontId="54" fillId="16" borderId="32" xfId="0" applyFont="1" applyFill="1" applyBorder="1" applyAlignment="1">
      <alignment horizontal="right"/>
    </xf>
    <xf numFmtId="0" fontId="54" fillId="16" borderId="33" xfId="0" applyFont="1" applyFill="1" applyBorder="1" applyAlignment="1">
      <alignment horizontal="right"/>
    </xf>
    <xf numFmtId="43" fontId="53" fillId="16" borderId="33" xfId="50" applyFont="1" applyFill="1" applyBorder="1"/>
    <xf numFmtId="43" fontId="0" fillId="0" borderId="0" xfId="50" applyFont="1"/>
    <xf numFmtId="0" fontId="56" fillId="14" borderId="0" xfId="0" applyFont="1" applyFill="1" applyAlignment="1">
      <alignment horizontal="center"/>
    </xf>
    <xf numFmtId="9" fontId="24" fillId="0" borderId="6" xfId="0" applyNumberFormat="1" applyFont="1" applyBorder="1" applyAlignment="1">
      <alignment horizontal="center"/>
    </xf>
    <xf numFmtId="43" fontId="0" fillId="13" borderId="6" xfId="0" applyNumberFormat="1" applyFill="1" applyBorder="1"/>
    <xf numFmtId="0" fontId="0" fillId="13" borderId="6" xfId="0" applyFill="1" applyBorder="1"/>
    <xf numFmtId="165" fontId="41" fillId="13" borderId="6" xfId="0" applyNumberFormat="1" applyFont="1" applyFill="1" applyBorder="1"/>
    <xf numFmtId="0" fontId="47" fillId="9" borderId="34" xfId="8" applyFont="1" applyFill="1" applyBorder="1" applyAlignment="1">
      <alignment horizontal="center" vertical="center"/>
    </xf>
    <xf numFmtId="43" fontId="31" fillId="10" borderId="16" xfId="5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 wrapText="1"/>
    </xf>
    <xf numFmtId="0" fontId="17" fillId="8" borderId="35" xfId="0" applyFont="1" applyFill="1" applyBorder="1" applyAlignment="1">
      <alignment horizontal="center" vertical="center" wrapText="1"/>
    </xf>
    <xf numFmtId="0" fontId="4" fillId="8" borderId="35" xfId="0" applyFont="1" applyFill="1" applyBorder="1" applyAlignment="1">
      <alignment horizontal="center" vertical="center" wrapText="1"/>
    </xf>
    <xf numFmtId="0" fontId="25" fillId="8" borderId="35" xfId="0" applyFont="1" applyFill="1" applyBorder="1" applyAlignment="1">
      <alignment horizontal="center" vertical="center" wrapText="1"/>
    </xf>
    <xf numFmtId="14" fontId="17" fillId="8" borderId="35" xfId="0" applyNumberFormat="1" applyFont="1" applyFill="1" applyBorder="1" applyAlignment="1">
      <alignment horizontal="center" vertical="center" wrapText="1"/>
    </xf>
    <xf numFmtId="174" fontId="17" fillId="8" borderId="35" xfId="50" applyNumberFormat="1" applyFont="1" applyFill="1" applyBorder="1" applyAlignment="1">
      <alignment horizontal="center" vertical="center" wrapText="1"/>
    </xf>
    <xf numFmtId="43" fontId="17" fillId="8" borderId="35" xfId="50" applyFont="1" applyFill="1" applyBorder="1" applyAlignment="1">
      <alignment horizontal="center" vertical="center" wrapText="1"/>
    </xf>
    <xf numFmtId="0" fontId="18" fillId="8" borderId="35" xfId="0" applyFont="1" applyFill="1" applyBorder="1" applyAlignment="1">
      <alignment horizontal="center" vertical="center" wrapText="1"/>
    </xf>
    <xf numFmtId="1" fontId="18" fillId="8" borderId="35" xfId="0" applyNumberFormat="1" applyFont="1" applyFill="1" applyBorder="1" applyAlignment="1">
      <alignment horizontal="center" vertical="center" wrapText="1"/>
    </xf>
    <xf numFmtId="0" fontId="17" fillId="9" borderId="35" xfId="0" applyFont="1" applyFill="1" applyBorder="1" applyAlignment="1">
      <alignment horizontal="center" vertical="center" wrapText="1"/>
    </xf>
    <xf numFmtId="43" fontId="31" fillId="10" borderId="36" xfId="50" applyFont="1" applyFill="1" applyBorder="1" applyAlignment="1">
      <alignment horizontal="center" vertical="center"/>
    </xf>
    <xf numFmtId="43" fontId="23" fillId="0" borderId="36" xfId="50" applyFont="1" applyBorder="1" applyAlignment="1">
      <alignment vertical="center"/>
    </xf>
    <xf numFmtId="0" fontId="58" fillId="19" borderId="0" xfId="0" applyFont="1" applyFill="1" applyAlignment="1">
      <alignment horizontal="center" vertical="center"/>
    </xf>
    <xf numFmtId="0" fontId="58" fillId="19" borderId="0" xfId="0" applyFont="1" applyFill="1" applyAlignment="1">
      <alignment horizontal="center" vertical="center" wrapText="1"/>
    </xf>
    <xf numFmtId="0" fontId="59" fillId="19" borderId="0" xfId="0" applyFont="1" applyFill="1" applyAlignment="1">
      <alignment horizontal="center" vertical="center"/>
    </xf>
    <xf numFmtId="14" fontId="58" fillId="19" borderId="0" xfId="0" applyNumberFormat="1" applyFont="1" applyFill="1" applyAlignment="1">
      <alignment horizontal="center" vertical="center"/>
    </xf>
    <xf numFmtId="43" fontId="3" fillId="0" borderId="6" xfId="50" applyFont="1" applyBorder="1" applyAlignment="1">
      <alignment vertical="center"/>
    </xf>
    <xf numFmtId="43" fontId="3" fillId="0" borderId="6" xfId="50" applyFont="1" applyBorder="1" applyAlignment="1">
      <alignment vertical="center" wrapText="1"/>
    </xf>
    <xf numFmtId="43" fontId="3" fillId="0" borderId="6" xfId="50" applyFont="1" applyBorder="1" applyAlignment="1">
      <alignment horizontal="center" vertical="center"/>
    </xf>
    <xf numFmtId="0" fontId="60" fillId="18" borderId="0" xfId="0" applyFont="1" applyFill="1" applyAlignment="1">
      <alignment horizontal="center" vertical="center"/>
    </xf>
    <xf numFmtId="0" fontId="60" fillId="18" borderId="0" xfId="0" applyFont="1" applyFill="1" applyAlignment="1">
      <alignment horizontal="center" vertical="center" wrapText="1"/>
    </xf>
    <xf numFmtId="14" fontId="60" fillId="18" borderId="0" xfId="0" applyNumberFormat="1" applyFont="1" applyFill="1" applyAlignment="1">
      <alignment horizontal="center" vertical="center"/>
    </xf>
    <xf numFmtId="174" fontId="60" fillId="18" borderId="0" xfId="50" applyNumberFormat="1" applyFont="1" applyFill="1" applyAlignment="1">
      <alignment horizontal="center" vertical="center"/>
    </xf>
    <xf numFmtId="0" fontId="23" fillId="0" borderId="40" xfId="0" applyFont="1" applyBorder="1" applyAlignment="1">
      <alignment horizontal="left" vertical="center"/>
    </xf>
    <xf numFmtId="0" fontId="30" fillId="0" borderId="42" xfId="0" applyFont="1" applyBorder="1" applyAlignment="1">
      <alignment horizontal="left" vertical="center"/>
    </xf>
    <xf numFmtId="0" fontId="30" fillId="0" borderId="42" xfId="0" applyFont="1" applyBorder="1" applyAlignment="1">
      <alignment horizontal="right" vertical="center"/>
    </xf>
    <xf numFmtId="0" fontId="61" fillId="8" borderId="6" xfId="0" applyFont="1" applyFill="1" applyBorder="1" applyAlignment="1">
      <alignment vertical="center" textRotation="45"/>
    </xf>
    <xf numFmtId="1" fontId="61" fillId="8" borderId="6" xfId="0" applyNumberFormat="1" applyFont="1" applyFill="1" applyBorder="1" applyAlignment="1">
      <alignment vertical="center" textRotation="45"/>
    </xf>
    <xf numFmtId="1" fontId="61" fillId="8" borderId="0" xfId="0" applyNumberFormat="1" applyFont="1" applyFill="1" applyAlignment="1">
      <alignment vertical="center" textRotation="45"/>
    </xf>
    <xf numFmtId="1" fontId="32" fillId="20" borderId="6" xfId="50" applyNumberFormat="1" applyFont="1" applyFill="1" applyBorder="1" applyAlignment="1">
      <alignment horizontal="left" vertical="center"/>
    </xf>
    <xf numFmtId="165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61" fillId="0" borderId="0" xfId="0" applyFont="1" applyAlignment="1">
      <alignment vertical="center"/>
    </xf>
    <xf numFmtId="0" fontId="0" fillId="10" borderId="0" xfId="0" applyFill="1" applyAlignment="1">
      <alignment vertical="center"/>
    </xf>
    <xf numFmtId="174" fontId="0" fillId="10" borderId="0" xfId="50" applyNumberFormat="1" applyFont="1" applyFill="1" applyAlignment="1">
      <alignment vertical="center"/>
    </xf>
    <xf numFmtId="43" fontId="0" fillId="10" borderId="0" xfId="50" applyFont="1" applyFill="1" applyAlignment="1">
      <alignment vertical="center"/>
    </xf>
    <xf numFmtId="43" fontId="0" fillId="10" borderId="0" xfId="0" applyNumberFormat="1" applyFill="1" applyAlignment="1">
      <alignment vertical="center"/>
    </xf>
    <xf numFmtId="0" fontId="27" fillId="10" borderId="0" xfId="0" applyFont="1" applyFill="1" applyAlignment="1">
      <alignment vertical="center"/>
    </xf>
    <xf numFmtId="14" fontId="0" fillId="10" borderId="0" xfId="0" applyNumberFormat="1" applyFill="1" applyAlignment="1">
      <alignment vertical="center"/>
    </xf>
    <xf numFmtId="43" fontId="0" fillId="10" borderId="0" xfId="50" applyFont="1" applyFill="1" applyAlignment="1">
      <alignment horizontal="center" vertical="center"/>
    </xf>
    <xf numFmtId="0" fontId="29" fillId="10" borderId="0" xfId="0" applyFont="1" applyFill="1" applyAlignment="1">
      <alignment vertical="center"/>
    </xf>
    <xf numFmtId="0" fontId="0" fillId="10" borderId="0" xfId="0" applyFill="1" applyAlignment="1">
      <alignment vertical="center" wrapText="1"/>
    </xf>
    <xf numFmtId="0" fontId="62" fillId="10" borderId="0" xfId="0" applyFont="1" applyFill="1" applyAlignment="1">
      <alignment vertical="center"/>
    </xf>
    <xf numFmtId="0" fontId="0" fillId="10" borderId="0" xfId="0" applyFill="1" applyAlignment="1">
      <alignment horizontal="center" vertical="center"/>
    </xf>
    <xf numFmtId="43" fontId="27" fillId="10" borderId="0" xfId="50" applyFont="1" applyFill="1" applyAlignment="1">
      <alignment vertical="center"/>
    </xf>
    <xf numFmtId="0" fontId="63" fillId="10" borderId="0" xfId="0" applyFont="1" applyFill="1" applyAlignment="1">
      <alignment vertical="center"/>
    </xf>
    <xf numFmtId="0" fontId="27" fillId="10" borderId="45" xfId="0" applyFont="1" applyFill="1" applyBorder="1" applyAlignment="1">
      <alignment vertical="center" wrapText="1"/>
    </xf>
    <xf numFmtId="43" fontId="27" fillId="10" borderId="45" xfId="50" applyFont="1" applyFill="1" applyBorder="1" applyAlignment="1">
      <alignment vertical="center"/>
    </xf>
    <xf numFmtId="174" fontId="27" fillId="10" borderId="45" xfId="50" applyNumberFormat="1" applyFont="1" applyFill="1" applyBorder="1" applyAlignment="1">
      <alignment vertical="center"/>
    </xf>
    <xf numFmtId="43" fontId="27" fillId="10" borderId="45" xfId="50" applyFont="1" applyFill="1" applyBorder="1" applyAlignment="1">
      <alignment horizontal="center" vertical="center"/>
    </xf>
    <xf numFmtId="0" fontId="27" fillId="10" borderId="46" xfId="0" applyFont="1" applyFill="1" applyBorder="1" applyAlignment="1">
      <alignment vertical="center" wrapText="1"/>
    </xf>
    <xf numFmtId="43" fontId="27" fillId="10" borderId="46" xfId="50" applyFont="1" applyFill="1" applyBorder="1" applyAlignment="1">
      <alignment vertical="center"/>
    </xf>
    <xf numFmtId="174" fontId="27" fillId="10" borderId="46" xfId="50" applyNumberFormat="1" applyFont="1" applyFill="1" applyBorder="1" applyAlignment="1">
      <alignment vertical="center"/>
    </xf>
    <xf numFmtId="43" fontId="27" fillId="10" borderId="46" xfId="50" applyFont="1" applyFill="1" applyBorder="1" applyAlignment="1">
      <alignment horizontal="center" vertical="center"/>
    </xf>
    <xf numFmtId="0" fontId="27" fillId="10" borderId="47" xfId="0" applyFont="1" applyFill="1" applyBorder="1" applyAlignment="1">
      <alignment horizontal="center" vertical="center"/>
    </xf>
    <xf numFmtId="0" fontId="27" fillId="10" borderId="48" xfId="0" applyFont="1" applyFill="1" applyBorder="1" applyAlignment="1">
      <alignment vertical="center"/>
    </xf>
    <xf numFmtId="0" fontId="27" fillId="10" borderId="49" xfId="0" applyFont="1" applyFill="1" applyBorder="1" applyAlignment="1">
      <alignment horizontal="center" vertical="center"/>
    </xf>
    <xf numFmtId="0" fontId="27" fillId="10" borderId="50" xfId="0" applyFont="1" applyFill="1" applyBorder="1" applyAlignment="1">
      <alignment vertical="center"/>
    </xf>
    <xf numFmtId="0" fontId="27" fillId="10" borderId="51" xfId="0" applyFont="1" applyFill="1" applyBorder="1" applyAlignment="1">
      <alignment horizontal="center" vertical="center"/>
    </xf>
    <xf numFmtId="0" fontId="27" fillId="10" borderId="52" xfId="0" applyFont="1" applyFill="1" applyBorder="1" applyAlignment="1">
      <alignment vertical="center" wrapText="1"/>
    </xf>
    <xf numFmtId="43" fontId="27" fillId="10" borderId="52" xfId="50" applyFont="1" applyFill="1" applyBorder="1" applyAlignment="1">
      <alignment vertical="center"/>
    </xf>
    <xf numFmtId="14" fontId="0" fillId="10" borderId="52" xfId="0" applyNumberFormat="1" applyFill="1" applyBorder="1" applyAlignment="1">
      <alignment vertical="center"/>
    </xf>
    <xf numFmtId="174" fontId="27" fillId="10" borderId="52" xfId="50" applyNumberFormat="1" applyFont="1" applyFill="1" applyBorder="1" applyAlignment="1">
      <alignment vertical="center"/>
    </xf>
    <xf numFmtId="43" fontId="27" fillId="10" borderId="52" xfId="5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vertical="center"/>
    </xf>
    <xf numFmtId="0" fontId="65" fillId="18" borderId="6" xfId="0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0" fontId="65" fillId="19" borderId="6" xfId="0" applyFont="1" applyFill="1" applyBorder="1" applyAlignment="1">
      <alignment horizontal="center" vertical="center"/>
    </xf>
    <xf numFmtId="0" fontId="66" fillId="19" borderId="6" xfId="0" applyFont="1" applyFill="1" applyBorder="1" applyAlignment="1">
      <alignment horizontal="center" vertical="center"/>
    </xf>
    <xf numFmtId="43" fontId="53" fillId="16" borderId="31" xfId="50" applyFont="1" applyFill="1" applyBorder="1"/>
    <xf numFmtId="0" fontId="0" fillId="0" borderId="40" xfId="0" applyBorder="1"/>
    <xf numFmtId="0" fontId="0" fillId="0" borderId="41" xfId="0" applyBorder="1"/>
    <xf numFmtId="0" fontId="67" fillId="13" borderId="0" xfId="0" applyFont="1" applyFill="1" applyAlignment="1">
      <alignment horizontal="center" vertical="center"/>
    </xf>
    <xf numFmtId="0" fontId="67" fillId="13" borderId="41" xfId="0" applyFont="1" applyFill="1" applyBorder="1" applyAlignment="1">
      <alignment horizontal="center" vertical="center"/>
    </xf>
    <xf numFmtId="0" fontId="27" fillId="0" borderId="40" xfId="0" applyFont="1" applyBorder="1"/>
    <xf numFmtId="0" fontId="27" fillId="0" borderId="0" xfId="0" applyFont="1"/>
    <xf numFmtId="43" fontId="27" fillId="0" borderId="0" xfId="50" applyFont="1" applyBorder="1"/>
    <xf numFmtId="43" fontId="27" fillId="0" borderId="41" xfId="50" applyFont="1" applyBorder="1"/>
    <xf numFmtId="14" fontId="27" fillId="0" borderId="0" xfId="0" applyNumberFormat="1" applyFont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61" fillId="0" borderId="0" xfId="0" applyFont="1" applyAlignment="1">
      <alignment horizontal="right"/>
    </xf>
    <xf numFmtId="43" fontId="27" fillId="21" borderId="0" xfId="50" applyFont="1" applyFill="1" applyBorder="1"/>
    <xf numFmtId="0" fontId="0" fillId="22" borderId="0" xfId="0" applyFill="1"/>
    <xf numFmtId="0" fontId="53" fillId="22" borderId="21" xfId="0" applyFont="1" applyFill="1" applyBorder="1"/>
    <xf numFmtId="0" fontId="53" fillId="22" borderId="22" xfId="0" applyFont="1" applyFill="1" applyBorder="1"/>
    <xf numFmtId="0" fontId="53" fillId="22" borderId="23" xfId="0" applyFont="1" applyFill="1" applyBorder="1"/>
    <xf numFmtId="43" fontId="53" fillId="22" borderId="24" xfId="50" applyFont="1" applyFill="1" applyBorder="1"/>
    <xf numFmtId="0" fontId="53" fillId="22" borderId="25" xfId="0" applyFont="1" applyFill="1" applyBorder="1"/>
    <xf numFmtId="43" fontId="53" fillId="22" borderId="26" xfId="50" applyFont="1" applyFill="1" applyBorder="1"/>
    <xf numFmtId="43" fontId="53" fillId="22" borderId="27" xfId="50" applyFont="1" applyFill="1" applyBorder="1"/>
    <xf numFmtId="0" fontId="53" fillId="22" borderId="28" xfId="0" applyFont="1" applyFill="1" applyBorder="1"/>
    <xf numFmtId="0" fontId="53" fillId="22" borderId="29" xfId="0" applyFont="1" applyFill="1" applyBorder="1"/>
    <xf numFmtId="43" fontId="53" fillId="22" borderId="30" xfId="50" applyFont="1" applyFill="1" applyBorder="1"/>
    <xf numFmtId="0" fontId="54" fillId="22" borderId="31" xfId="0" applyFont="1" applyFill="1" applyBorder="1" applyAlignment="1">
      <alignment horizontal="right"/>
    </xf>
    <xf numFmtId="43" fontId="53" fillId="22" borderId="31" xfId="50" applyFont="1" applyFill="1" applyBorder="1"/>
    <xf numFmtId="0" fontId="55" fillId="23" borderId="32" xfId="0" applyFont="1" applyFill="1" applyBorder="1" applyAlignment="1">
      <alignment horizontal="right"/>
    </xf>
    <xf numFmtId="43" fontId="53" fillId="22" borderId="32" xfId="50" applyFont="1" applyFill="1" applyBorder="1"/>
    <xf numFmtId="0" fontId="54" fillId="22" borderId="32" xfId="0" applyFont="1" applyFill="1" applyBorder="1" applyAlignment="1">
      <alignment horizontal="right"/>
    </xf>
    <xf numFmtId="0" fontId="54" fillId="22" borderId="33" xfId="0" applyFont="1" applyFill="1" applyBorder="1" applyAlignment="1">
      <alignment horizontal="right"/>
    </xf>
    <xf numFmtId="43" fontId="53" fillId="22" borderId="33" xfId="50" applyFont="1" applyFill="1" applyBorder="1"/>
    <xf numFmtId="14" fontId="27" fillId="0" borderId="40" xfId="0" applyNumberFormat="1" applyFont="1" applyBorder="1"/>
    <xf numFmtId="43" fontId="27" fillId="0" borderId="0" xfId="50" applyFont="1" applyFill="1" applyBorder="1"/>
    <xf numFmtId="43" fontId="27" fillId="24" borderId="0" xfId="50" applyFont="1" applyFill="1" applyBorder="1"/>
    <xf numFmtId="0" fontId="61" fillId="0" borderId="40" xfId="0" applyFont="1" applyBorder="1"/>
    <xf numFmtId="0" fontId="61" fillId="0" borderId="0" xfId="0" applyFont="1"/>
    <xf numFmtId="14" fontId="61" fillId="0" borderId="0" xfId="0" applyNumberFormat="1" applyFont="1"/>
    <xf numFmtId="43" fontId="61" fillId="0" borderId="0" xfId="50" applyFont="1" applyBorder="1"/>
    <xf numFmtId="43" fontId="61" fillId="0" borderId="41" xfId="50" applyFont="1" applyBorder="1"/>
    <xf numFmtId="43" fontId="0" fillId="0" borderId="0" xfId="50" applyFont="1" applyAlignment="1">
      <alignment horizontal="right"/>
    </xf>
    <xf numFmtId="165" fontId="0" fillId="0" borderId="0" xfId="0" applyNumberFormat="1"/>
    <xf numFmtId="0" fontId="0" fillId="0" borderId="0" xfId="0" applyAlignment="1">
      <alignment horizontal="right"/>
    </xf>
    <xf numFmtId="4" fontId="0" fillId="0" borderId="41" xfId="0" applyNumberFormat="1" applyBorder="1"/>
    <xf numFmtId="0" fontId="68" fillId="22" borderId="0" xfId="0" applyFont="1" applyFill="1"/>
    <xf numFmtId="0" fontId="68" fillId="16" borderId="0" xfId="0" applyFont="1" applyFill="1"/>
    <xf numFmtId="16" fontId="0" fillId="0" borderId="0" xfId="0" applyNumberFormat="1"/>
    <xf numFmtId="0" fontId="23" fillId="0" borderId="0" xfId="0" applyFont="1" applyAlignment="1">
      <alignment horizontal="right" vertical="center"/>
    </xf>
    <xf numFmtId="165" fontId="41" fillId="13" borderId="16" xfId="0" applyNumberFormat="1" applyFont="1" applyFill="1" applyBorder="1" applyAlignment="1">
      <alignment horizontal="center"/>
    </xf>
    <xf numFmtId="0" fontId="41" fillId="8" borderId="16" xfId="0" applyFont="1" applyFill="1" applyBorder="1" applyAlignment="1">
      <alignment horizontal="center"/>
    </xf>
    <xf numFmtId="165" fontId="41" fillId="0" borderId="0" xfId="0" applyNumberFormat="1" applyFont="1"/>
    <xf numFmtId="165" fontId="41" fillId="13" borderId="16" xfId="0" applyNumberFormat="1" applyFont="1" applyFill="1" applyBorder="1"/>
    <xf numFmtId="165" fontId="41" fillId="13" borderId="36" xfId="0" applyNumberFormat="1" applyFont="1" applyFill="1" applyBorder="1"/>
    <xf numFmtId="165" fontId="41" fillId="13" borderId="5" xfId="0" applyNumberFormat="1" applyFont="1" applyFill="1" applyBorder="1" applyAlignment="1">
      <alignment horizontal="center"/>
    </xf>
    <xf numFmtId="165" fontId="41" fillId="13" borderId="35" xfId="0" applyNumberFormat="1" applyFont="1" applyFill="1" applyBorder="1"/>
    <xf numFmtId="165" fontId="41" fillId="13" borderId="1" xfId="0" applyNumberFormat="1" applyFont="1" applyFill="1" applyBorder="1" applyAlignment="1">
      <alignment horizontal="center"/>
    </xf>
    <xf numFmtId="0" fontId="43" fillId="8" borderId="16" xfId="0" applyFont="1" applyFill="1" applyBorder="1" applyAlignment="1">
      <alignment horizontal="center" vertical="center"/>
    </xf>
    <xf numFmtId="0" fontId="41" fillId="25" borderId="54" xfId="0" applyFont="1" applyFill="1" applyBorder="1"/>
    <xf numFmtId="165" fontId="41" fillId="25" borderId="54" xfId="0" applyNumberFormat="1" applyFont="1" applyFill="1" applyBorder="1" applyAlignment="1">
      <alignment horizontal="center"/>
    </xf>
    <xf numFmtId="165" fontId="41" fillId="25" borderId="54" xfId="0" applyNumberFormat="1" applyFont="1" applyFill="1" applyBorder="1"/>
    <xf numFmtId="0" fontId="41" fillId="8" borderId="16" xfId="0" applyFont="1" applyFill="1" applyBorder="1"/>
    <xf numFmtId="165" fontId="41" fillId="13" borderId="5" xfId="0" applyNumberFormat="1" applyFont="1" applyFill="1" applyBorder="1"/>
    <xf numFmtId="165" fontId="41" fillId="13" borderId="1" xfId="0" applyNumberFormat="1" applyFont="1" applyFill="1" applyBorder="1"/>
    <xf numFmtId="49" fontId="4" fillId="0" borderId="54" xfId="0" applyNumberFormat="1" applyFont="1" applyBorder="1"/>
    <xf numFmtId="49" fontId="4" fillId="0" borderId="0" xfId="0" applyNumberFormat="1" applyFont="1"/>
    <xf numFmtId="0" fontId="41" fillId="0" borderId="0" xfId="0" applyFont="1"/>
    <xf numFmtId="49" fontId="4" fillId="0" borderId="3" xfId="0" applyNumberFormat="1" applyFont="1" applyBorder="1"/>
    <xf numFmtId="43" fontId="41" fillId="0" borderId="0" xfId="50" applyFont="1" applyFill="1" applyBorder="1" applyAlignment="1">
      <alignment vertical="center" wrapText="1"/>
    </xf>
    <xf numFmtId="43" fontId="41" fillId="0" borderId="0" xfId="50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71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69" fillId="0" borderId="0" xfId="0" applyFont="1" applyAlignment="1">
      <alignment horizontal="left" vertical="center" indent="1"/>
    </xf>
    <xf numFmtId="14" fontId="56" fillId="14" borderId="0" xfId="0" applyNumberFormat="1" applyFont="1" applyFill="1" applyAlignment="1" applyProtection="1">
      <alignment horizontal="left"/>
      <protection locked="0"/>
    </xf>
    <xf numFmtId="1" fontId="40" fillId="0" borderId="0" xfId="0" applyNumberFormat="1" applyFont="1" applyAlignment="1">
      <alignment horizontal="center" vertical="center"/>
    </xf>
    <xf numFmtId="39" fontId="28" fillId="0" borderId="0" xfId="0" applyNumberFormat="1" applyFont="1" applyAlignment="1">
      <alignment vertical="center"/>
    </xf>
    <xf numFmtId="0" fontId="74" fillId="0" borderId="0" xfId="0" applyFont="1" applyAlignment="1">
      <alignment vertical="center"/>
    </xf>
    <xf numFmtId="4" fontId="70" fillId="26" borderId="0" xfId="0" applyNumberFormat="1" applyFont="1" applyFill="1" applyProtection="1">
      <protection locked="0"/>
    </xf>
    <xf numFmtId="0" fontId="26" fillId="10" borderId="17" xfId="0" applyFont="1" applyFill="1" applyBorder="1" applyAlignment="1" applyProtection="1">
      <alignment horizontal="center" vertical="center"/>
      <protection locked="0"/>
    </xf>
    <xf numFmtId="0" fontId="26" fillId="10" borderId="6" xfId="0" applyFont="1" applyFill="1" applyBorder="1" applyAlignment="1" applyProtection="1">
      <alignment horizontal="center" vertical="center"/>
      <protection locked="0"/>
    </xf>
    <xf numFmtId="0" fontId="39" fillId="10" borderId="6" xfId="0" applyFont="1" applyFill="1" applyBorder="1" applyAlignment="1" applyProtection="1">
      <alignment horizontal="left" vertical="center" wrapText="1"/>
      <protection locked="0"/>
    </xf>
    <xf numFmtId="0" fontId="27" fillId="10" borderId="6" xfId="0" applyFont="1" applyFill="1" applyBorder="1" applyAlignment="1" applyProtection="1">
      <alignment vertical="center"/>
      <protection locked="0"/>
    </xf>
    <xf numFmtId="0" fontId="12" fillId="10" borderId="6" xfId="0" applyFont="1" applyFill="1" applyBorder="1" applyAlignment="1" applyProtection="1">
      <alignment horizontal="left" vertical="center"/>
      <protection locked="0"/>
    </xf>
    <xf numFmtId="175" fontId="12" fillId="10" borderId="6" xfId="0" applyNumberFormat="1" applyFont="1" applyFill="1" applyBorder="1" applyAlignment="1" applyProtection="1">
      <alignment horizontal="center" vertical="center"/>
      <protection locked="0"/>
    </xf>
    <xf numFmtId="174" fontId="12" fillId="10" borderId="6" xfId="50" applyNumberFormat="1" applyFont="1" applyFill="1" applyBorder="1" applyAlignment="1" applyProtection="1">
      <alignment vertical="center"/>
      <protection locked="0"/>
    </xf>
    <xf numFmtId="43" fontId="12" fillId="10" borderId="6" xfId="50" applyFont="1" applyFill="1" applyBorder="1" applyAlignment="1" applyProtection="1">
      <alignment vertical="center"/>
      <protection locked="0"/>
    </xf>
    <xf numFmtId="0" fontId="73" fillId="0" borderId="6" xfId="0" applyFont="1" applyBorder="1" applyAlignment="1" applyProtection="1">
      <alignment vertical="center"/>
      <protection locked="0"/>
    </xf>
    <xf numFmtId="43" fontId="17" fillId="0" borderId="6" xfId="50" applyFont="1" applyFill="1" applyBorder="1" applyAlignment="1" applyProtection="1">
      <alignment horizontal="center" vertical="center" wrapText="1"/>
      <protection locked="0"/>
    </xf>
    <xf numFmtId="0" fontId="17" fillId="10" borderId="6" xfId="0" applyFont="1" applyFill="1" applyBorder="1" applyAlignment="1" applyProtection="1">
      <alignment horizontal="center" vertical="center" wrapText="1"/>
      <protection locked="0"/>
    </xf>
    <xf numFmtId="1" fontId="32" fillId="13" borderId="6" xfId="50" applyNumberFormat="1" applyFont="1" applyFill="1" applyBorder="1" applyAlignment="1" applyProtection="1">
      <alignment horizontal="left" vertical="center"/>
      <protection locked="0"/>
    </xf>
    <xf numFmtId="0" fontId="17" fillId="0" borderId="6" xfId="0" applyFont="1" applyBorder="1" applyAlignment="1" applyProtection="1">
      <alignment horizontal="center" vertical="center" wrapText="1"/>
      <protection locked="0"/>
    </xf>
    <xf numFmtId="0" fontId="17" fillId="13" borderId="6" xfId="0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vertical="center"/>
      <protection locked="0"/>
    </xf>
    <xf numFmtId="43" fontId="0" fillId="0" borderId="6" xfId="50" applyFont="1" applyBorder="1" applyAlignment="1" applyProtection="1">
      <alignment horizontal="center" vertical="center"/>
      <protection locked="0"/>
    </xf>
    <xf numFmtId="165" fontId="41" fillId="0" borderId="6" xfId="0" applyNumberFormat="1" applyFont="1" applyBorder="1"/>
    <xf numFmtId="165" fontId="41" fillId="13" borderId="54" xfId="0" applyNumberFormat="1" applyFont="1" applyFill="1" applyBorder="1"/>
    <xf numFmtId="0" fontId="48" fillId="0" borderId="6" xfId="0" applyFont="1" applyBorder="1" applyAlignment="1">
      <alignment horizontal="center" vertical="center"/>
    </xf>
    <xf numFmtId="177" fontId="24" fillId="13" borderId="6" xfId="50" applyNumberFormat="1" applyFont="1" applyFill="1" applyBorder="1" applyAlignment="1">
      <alignment horizontal="center" vertical="center"/>
    </xf>
    <xf numFmtId="43" fontId="29" fillId="0" borderId="0" xfId="5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43" fontId="30" fillId="0" borderId="0" xfId="50" applyFont="1" applyBorder="1" applyAlignment="1">
      <alignment horizontal="center" vertical="center"/>
    </xf>
    <xf numFmtId="0" fontId="64" fillId="10" borderId="0" xfId="0" applyFont="1" applyFill="1" applyAlignment="1">
      <alignment horizontal="center" vertical="center"/>
    </xf>
    <xf numFmtId="0" fontId="65" fillId="18" borderId="0" xfId="0" applyFont="1" applyFill="1" applyAlignment="1">
      <alignment horizontal="center" vertical="center"/>
    </xf>
    <xf numFmtId="0" fontId="65" fillId="19" borderId="0" xfId="0" applyFont="1" applyFill="1" applyAlignment="1">
      <alignment horizontal="center" vertical="center"/>
    </xf>
    <xf numFmtId="174" fontId="58" fillId="0" borderId="0" xfId="50" applyNumberFormat="1" applyFont="1" applyFill="1" applyBorder="1" applyAlignment="1">
      <alignment horizontal="center" vertical="center"/>
    </xf>
    <xf numFmtId="43" fontId="3" fillId="0" borderId="0" xfId="50" applyFont="1" applyFill="1" applyBorder="1" applyAlignment="1">
      <alignment vertical="center"/>
    </xf>
    <xf numFmtId="174" fontId="58" fillId="19" borderId="2" xfId="5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76" fillId="10" borderId="17" xfId="0" applyFont="1" applyFill="1" applyBorder="1" applyAlignment="1" applyProtection="1">
      <alignment horizontal="center" vertical="center"/>
      <protection locked="0"/>
    </xf>
    <xf numFmtId="175" fontId="77" fillId="10" borderId="6" xfId="0" applyNumberFormat="1" applyFont="1" applyFill="1" applyBorder="1" applyAlignment="1" applyProtection="1">
      <alignment horizontal="center" vertical="center"/>
      <protection locked="0"/>
    </xf>
    <xf numFmtId="174" fontId="77" fillId="10" borderId="6" xfId="50" applyNumberFormat="1" applyFont="1" applyFill="1" applyBorder="1" applyAlignment="1" applyProtection="1">
      <alignment vertical="center"/>
      <protection locked="0"/>
    </xf>
    <xf numFmtId="43" fontId="77" fillId="10" borderId="6" xfId="50" applyFont="1" applyFill="1" applyBorder="1" applyAlignment="1" applyProtection="1">
      <alignment vertical="center"/>
      <protection locked="0"/>
    </xf>
    <xf numFmtId="43" fontId="78" fillId="0" borderId="6" xfId="50" applyFont="1" applyFill="1" applyBorder="1" applyAlignment="1" applyProtection="1">
      <alignment horizontal="center" vertical="center" wrapText="1"/>
      <protection locked="0"/>
    </xf>
    <xf numFmtId="0" fontId="78" fillId="13" borderId="6" xfId="0" applyFont="1" applyFill="1" applyBorder="1" applyAlignment="1" applyProtection="1">
      <alignment horizontal="center" vertical="center" wrapText="1"/>
      <protection locked="0"/>
    </xf>
    <xf numFmtId="0" fontId="78" fillId="0" borderId="6" xfId="0" applyFont="1" applyBorder="1" applyAlignment="1" applyProtection="1">
      <alignment horizontal="center" vertical="center" wrapText="1"/>
      <protection locked="0"/>
    </xf>
    <xf numFmtId="43" fontId="76" fillId="12" borderId="6" xfId="50" applyFont="1" applyFill="1" applyBorder="1" applyAlignment="1">
      <alignment horizontal="left" vertical="center"/>
    </xf>
    <xf numFmtId="43" fontId="76" fillId="10" borderId="6" xfId="50" applyFont="1" applyFill="1" applyBorder="1" applyAlignment="1">
      <alignment horizontal="center" vertical="center"/>
    </xf>
    <xf numFmtId="43" fontId="75" fillId="0" borderId="36" xfId="50" applyFont="1" applyBorder="1" applyAlignment="1">
      <alignment vertical="center"/>
    </xf>
    <xf numFmtId="43" fontId="76" fillId="10" borderId="36" xfId="50" applyFont="1" applyFill="1" applyBorder="1" applyAlignment="1">
      <alignment horizontal="center" vertical="center"/>
    </xf>
    <xf numFmtId="0" fontId="17" fillId="9" borderId="6" xfId="0" applyFont="1" applyFill="1" applyBorder="1" applyAlignment="1">
      <alignment horizontal="center" vertical="center" wrapText="1"/>
    </xf>
    <xf numFmtId="0" fontId="76" fillId="10" borderId="17" xfId="0" applyFont="1" applyFill="1" applyBorder="1" applyAlignment="1" applyProtection="1">
      <alignment horizontal="left" vertical="center"/>
      <protection locked="0"/>
    </xf>
    <xf numFmtId="0" fontId="79" fillId="0" borderId="0" xfId="0" applyFont="1"/>
    <xf numFmtId="0" fontId="0" fillId="0" borderId="34" xfId="0" applyBorder="1"/>
    <xf numFmtId="0" fontId="75" fillId="0" borderId="0" xfId="0" applyFont="1" applyAlignment="1">
      <alignment vertical="center"/>
    </xf>
    <xf numFmtId="43" fontId="75" fillId="0" borderId="0" xfId="0" applyNumberFormat="1" applyFont="1" applyAlignment="1">
      <alignment vertical="center"/>
    </xf>
    <xf numFmtId="43" fontId="24" fillId="0" borderId="0" xfId="50" applyFont="1" applyAlignment="1">
      <alignment vertical="center"/>
    </xf>
    <xf numFmtId="1" fontId="24" fillId="0" borderId="0" xfId="50" applyNumberFormat="1" applyFont="1" applyAlignment="1">
      <alignment vertical="center"/>
    </xf>
    <xf numFmtId="1" fontId="24" fillId="0" borderId="0" xfId="50" applyNumberFormat="1" applyFont="1" applyAlignment="1">
      <alignment horizontal="center" vertical="center"/>
    </xf>
    <xf numFmtId="0" fontId="75" fillId="0" borderId="0" xfId="0" applyFont="1"/>
    <xf numFmtId="0" fontId="69" fillId="0" borderId="0" xfId="0" applyFont="1" applyAlignment="1">
      <alignment vertical="center"/>
    </xf>
    <xf numFmtId="0" fontId="34" fillId="0" borderId="0" xfId="8" applyFont="1" applyAlignment="1">
      <alignment horizontal="center"/>
    </xf>
    <xf numFmtId="0" fontId="41" fillId="0" borderId="0" xfId="0" applyFont="1" applyAlignment="1">
      <alignment horizontal="center" vertical="center"/>
    </xf>
    <xf numFmtId="0" fontId="37" fillId="0" borderId="5" xfId="50" applyNumberFormat="1" applyFont="1" applyBorder="1" applyAlignment="1">
      <alignment horizontal="center" vertical="center"/>
    </xf>
    <xf numFmtId="0" fontId="37" fillId="0" borderId="14" xfId="50" applyNumberFormat="1" applyFont="1" applyBorder="1" applyAlignment="1">
      <alignment horizontal="center" vertical="center" wrapText="1"/>
    </xf>
    <xf numFmtId="0" fontId="37" fillId="0" borderId="0" xfId="50" applyNumberFormat="1" applyFont="1" applyBorder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50" applyNumberFormat="1" applyFont="1"/>
    <xf numFmtId="174" fontId="0" fillId="0" borderId="0" xfId="50" applyNumberFormat="1" applyFont="1"/>
    <xf numFmtId="174" fontId="4" fillId="0" borderId="0" xfId="50" applyNumberFormat="1" applyFont="1"/>
    <xf numFmtId="165" fontId="4" fillId="0" borderId="0" xfId="0" applyNumberFormat="1" applyFont="1"/>
    <xf numFmtId="176" fontId="26" fillId="0" borderId="6" xfId="19" applyNumberFormat="1" applyFont="1" applyBorder="1" applyAlignment="1">
      <alignment horizontal="right"/>
    </xf>
    <xf numFmtId="176" fontId="26" fillId="0" borderId="6" xfId="2" applyNumberFormat="1" applyFont="1" applyFill="1" applyBorder="1" applyAlignment="1">
      <alignment horizontal="right" vertical="center"/>
    </xf>
    <xf numFmtId="179" fontId="17" fillId="10" borderId="35" xfId="50" applyNumberFormat="1" applyFont="1" applyFill="1" applyBorder="1" applyAlignment="1">
      <alignment horizontal="center" vertical="center"/>
    </xf>
    <xf numFmtId="0" fontId="41" fillId="28" borderId="6" xfId="0" applyFont="1" applyFill="1" applyBorder="1" applyAlignment="1">
      <alignment horizontal="center"/>
    </xf>
    <xf numFmtId="0" fontId="41" fillId="28" borderId="36" xfId="0" applyFont="1" applyFill="1" applyBorder="1" applyAlignment="1">
      <alignment horizontal="center"/>
    </xf>
    <xf numFmtId="0" fontId="43" fillId="28" borderId="54" xfId="0" applyFont="1" applyFill="1" applyBorder="1" applyAlignment="1">
      <alignment horizontal="center"/>
    </xf>
    <xf numFmtId="0" fontId="41" fillId="28" borderId="35" xfId="0" applyFont="1" applyFill="1" applyBorder="1" applyAlignment="1">
      <alignment horizontal="center"/>
    </xf>
    <xf numFmtId="43" fontId="76" fillId="10" borderId="0" xfId="50" applyFont="1" applyFill="1" applyBorder="1" applyAlignment="1">
      <alignment horizontal="center" vertical="center"/>
    </xf>
    <xf numFmtId="0" fontId="80" fillId="0" borderId="37" xfId="0" applyFont="1" applyBorder="1" applyAlignment="1">
      <alignment vertical="center"/>
    </xf>
    <xf numFmtId="0" fontId="80" fillId="0" borderId="38" xfId="0" applyFont="1" applyBorder="1" applyAlignment="1">
      <alignment vertical="center"/>
    </xf>
    <xf numFmtId="0" fontId="80" fillId="0" borderId="39" xfId="0" applyFont="1" applyBorder="1" applyAlignment="1">
      <alignment vertical="center"/>
    </xf>
    <xf numFmtId="0" fontId="75" fillId="0" borderId="40" xfId="0" applyFont="1" applyBorder="1" applyAlignment="1">
      <alignment vertical="center"/>
    </xf>
    <xf numFmtId="0" fontId="75" fillId="0" borderId="41" xfId="0" applyFont="1" applyBorder="1" applyAlignment="1">
      <alignment vertical="center"/>
    </xf>
    <xf numFmtId="0" fontId="67" fillId="0" borderId="42" xfId="0" applyFont="1" applyBorder="1" applyAlignment="1">
      <alignment vertical="center"/>
    </xf>
    <xf numFmtId="0" fontId="67" fillId="0" borderId="43" xfId="0" applyFont="1" applyBorder="1" applyAlignment="1">
      <alignment vertical="center"/>
    </xf>
    <xf numFmtId="0" fontId="67" fillId="0" borderId="44" xfId="0" applyFont="1" applyBorder="1" applyAlignment="1">
      <alignment vertical="center"/>
    </xf>
    <xf numFmtId="0" fontId="41" fillId="28" borderId="54" xfId="0" applyFont="1" applyFill="1" applyBorder="1" applyAlignment="1">
      <alignment horizontal="center"/>
    </xf>
    <xf numFmtId="165" fontId="41" fillId="13" borderId="6" xfId="0" applyNumberFormat="1" applyFont="1" applyFill="1" applyBorder="1" applyAlignment="1">
      <alignment horizontal="center"/>
    </xf>
    <xf numFmtId="0" fontId="24" fillId="9" borderId="0" xfId="0" applyFont="1" applyFill="1" applyAlignment="1">
      <alignment horizontal="center" vertical="center"/>
    </xf>
    <xf numFmtId="3" fontId="0" fillId="0" borderId="0" xfId="0" applyNumberFormat="1"/>
    <xf numFmtId="43" fontId="0" fillId="0" borderId="0" xfId="50" applyFont="1" applyBorder="1"/>
    <xf numFmtId="165" fontId="41" fillId="13" borderId="0" xfId="0" applyNumberFormat="1" applyFont="1" applyFill="1"/>
    <xf numFmtId="2" fontId="0" fillId="0" borderId="0" xfId="0" applyNumberFormat="1"/>
    <xf numFmtId="43" fontId="32" fillId="0" borderId="0" xfId="50" applyFont="1" applyAlignment="1">
      <alignment horizontal="center" vertical="center"/>
    </xf>
    <xf numFmtId="0" fontId="0" fillId="0" borderId="0" xfId="0" applyAlignment="1">
      <alignment horizontal="center"/>
    </xf>
    <xf numFmtId="43" fontId="65" fillId="18" borderId="6" xfId="50" applyFont="1" applyFill="1" applyBorder="1" applyAlignment="1">
      <alignment horizontal="center" vertical="center"/>
    </xf>
    <xf numFmtId="43" fontId="65" fillId="19" borderId="6" xfId="50" applyFont="1" applyFill="1" applyBorder="1" applyAlignment="1">
      <alignment horizontal="center" vertical="center"/>
    </xf>
    <xf numFmtId="0" fontId="65" fillId="19" borderId="6" xfId="0" applyFont="1" applyFill="1" applyBorder="1" applyAlignment="1">
      <alignment horizontal="center" vertical="center"/>
    </xf>
    <xf numFmtId="0" fontId="65" fillId="18" borderId="6" xfId="0" applyFont="1" applyFill="1" applyBorder="1" applyAlignment="1">
      <alignment horizontal="center" vertical="center"/>
    </xf>
    <xf numFmtId="0" fontId="23" fillId="0" borderId="0" xfId="0" applyFont="1" applyBorder="1" applyAlignment="1">
      <alignment horizontal="left" vertical="center"/>
    </xf>
    <xf numFmtId="0" fontId="30" fillId="0" borderId="43" xfId="0" applyFont="1" applyBorder="1" applyAlignment="1">
      <alignment horizontal="left" vertical="center"/>
    </xf>
    <xf numFmtId="0" fontId="27" fillId="10" borderId="55" xfId="0" applyFont="1" applyFill="1" applyBorder="1" applyAlignment="1">
      <alignment horizontal="center" vertical="center"/>
    </xf>
    <xf numFmtId="0" fontId="27" fillId="10" borderId="56" xfId="0" applyFont="1" applyFill="1" applyBorder="1" applyAlignment="1">
      <alignment horizontal="center" vertical="center"/>
    </xf>
    <xf numFmtId="0" fontId="27" fillId="10" borderId="57" xfId="0" applyFont="1" applyFill="1" applyBorder="1" applyAlignment="1">
      <alignment horizontal="center" vertical="center"/>
    </xf>
    <xf numFmtId="43" fontId="26" fillId="10" borderId="3" xfId="50" applyFont="1" applyFill="1" applyBorder="1" applyAlignment="1" applyProtection="1">
      <alignment horizontal="center" vertical="center"/>
      <protection locked="0"/>
    </xf>
    <xf numFmtId="43" fontId="26" fillId="10" borderId="0" xfId="50" applyFont="1" applyFill="1" applyBorder="1" applyAlignment="1" applyProtection="1">
      <alignment horizontal="center" vertical="center"/>
      <protection locked="0"/>
    </xf>
    <xf numFmtId="43" fontId="26" fillId="10" borderId="6" xfId="50" applyFont="1" applyFill="1" applyBorder="1" applyAlignment="1" applyProtection="1">
      <alignment horizontal="center" vertical="center"/>
      <protection locked="0"/>
    </xf>
    <xf numFmtId="43" fontId="45" fillId="0" borderId="0" xfId="50" applyFont="1" applyAlignment="1">
      <alignment horizontal="center" vertical="center"/>
    </xf>
    <xf numFmtId="43" fontId="58" fillId="19" borderId="0" xfId="50" applyFont="1" applyFill="1" applyAlignment="1">
      <alignment horizontal="center" vertical="center"/>
    </xf>
    <xf numFmtId="43" fontId="17" fillId="13" borderId="6" xfId="50" applyFont="1" applyFill="1" applyBorder="1" applyAlignment="1" applyProtection="1">
      <alignment horizontal="center" vertical="center" wrapText="1"/>
      <protection locked="0"/>
    </xf>
    <xf numFmtId="43" fontId="31" fillId="10" borderId="1" xfId="50" applyFont="1" applyFill="1" applyBorder="1" applyAlignment="1">
      <alignment horizontal="center" vertical="center"/>
    </xf>
    <xf numFmtId="9" fontId="31" fillId="10" borderId="3" xfId="59" applyFont="1" applyFill="1" applyBorder="1" applyAlignment="1">
      <alignment horizontal="center" vertical="center"/>
    </xf>
    <xf numFmtId="0" fontId="74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0" fillId="0" borderId="0" xfId="0" applyBorder="1" applyAlignment="1">
      <alignment horizontal="left" vertical="center"/>
    </xf>
    <xf numFmtId="43" fontId="30" fillId="0" borderId="0" xfId="50" applyFont="1" applyBorder="1" applyAlignment="1">
      <alignment horizontal="left" vertical="center"/>
    </xf>
    <xf numFmtId="164" fontId="30" fillId="0" borderId="4" xfId="0" applyNumberFormat="1" applyFont="1" applyBorder="1" applyAlignment="1">
      <alignment horizontal="left" vertical="center"/>
    </xf>
    <xf numFmtId="0" fontId="0" fillId="30" borderId="0" xfId="0" applyFill="1"/>
    <xf numFmtId="0" fontId="68" fillId="30" borderId="0" xfId="0" applyFont="1" applyFill="1"/>
    <xf numFmtId="0" fontId="52" fillId="30" borderId="18" xfId="0" applyFont="1" applyFill="1" applyBorder="1" applyAlignment="1">
      <alignment horizontal="center"/>
    </xf>
    <xf numFmtId="0" fontId="52" fillId="30" borderId="19" xfId="0" applyFont="1" applyFill="1" applyBorder="1" applyAlignment="1">
      <alignment horizontal="center"/>
    </xf>
    <xf numFmtId="0" fontId="52" fillId="30" borderId="20" xfId="0" applyFont="1" applyFill="1" applyBorder="1" applyAlignment="1">
      <alignment horizontal="center"/>
    </xf>
    <xf numFmtId="0" fontId="53" fillId="30" borderId="21" xfId="0" applyFont="1" applyFill="1" applyBorder="1"/>
    <xf numFmtId="0" fontId="53" fillId="30" borderId="22" xfId="0" applyFont="1" applyFill="1" applyBorder="1"/>
    <xf numFmtId="0" fontId="53" fillId="30" borderId="23" xfId="0" applyFont="1" applyFill="1" applyBorder="1"/>
    <xf numFmtId="43" fontId="53" fillId="30" borderId="24" xfId="50" applyFont="1" applyFill="1" applyBorder="1"/>
    <xf numFmtId="0" fontId="53" fillId="30" borderId="25" xfId="0" applyFont="1" applyFill="1" applyBorder="1"/>
    <xf numFmtId="43" fontId="53" fillId="30" borderId="27" xfId="50" applyFont="1" applyFill="1" applyBorder="1"/>
    <xf numFmtId="43" fontId="53" fillId="30" borderId="26" xfId="50" applyFont="1" applyFill="1" applyBorder="1"/>
    <xf numFmtId="0" fontId="53" fillId="30" borderId="28" xfId="0" applyFont="1" applyFill="1" applyBorder="1"/>
    <xf numFmtId="0" fontId="53" fillId="30" borderId="29" xfId="0" applyFont="1" applyFill="1" applyBorder="1"/>
    <xf numFmtId="43" fontId="53" fillId="30" borderId="30" xfId="50" applyFont="1" applyFill="1" applyBorder="1"/>
    <xf numFmtId="0" fontId="54" fillId="30" borderId="31" xfId="0" applyFont="1" applyFill="1" applyBorder="1" applyAlignment="1">
      <alignment horizontal="right"/>
    </xf>
    <xf numFmtId="43" fontId="53" fillId="30" borderId="31" xfId="50" applyFont="1" applyFill="1" applyBorder="1"/>
    <xf numFmtId="0" fontId="55" fillId="31" borderId="32" xfId="0" applyFont="1" applyFill="1" applyBorder="1" applyAlignment="1">
      <alignment horizontal="right"/>
    </xf>
    <xf numFmtId="43" fontId="53" fillId="30" borderId="32" xfId="50" applyFont="1" applyFill="1" applyBorder="1"/>
    <xf numFmtId="0" fontId="54" fillId="30" borderId="32" xfId="0" applyFont="1" applyFill="1" applyBorder="1" applyAlignment="1">
      <alignment horizontal="right"/>
    </xf>
    <xf numFmtId="0" fontId="54" fillId="30" borderId="33" xfId="0" applyFont="1" applyFill="1" applyBorder="1" applyAlignment="1">
      <alignment horizontal="right"/>
    </xf>
    <xf numFmtId="43" fontId="53" fillId="30" borderId="33" xfId="50" applyFont="1" applyFill="1" applyBorder="1"/>
    <xf numFmtId="0" fontId="81" fillId="22" borderId="18" xfId="0" applyFont="1" applyFill="1" applyBorder="1" applyAlignment="1">
      <alignment horizontal="center"/>
    </xf>
    <xf numFmtId="0" fontId="81" fillId="22" borderId="19" xfId="0" applyFont="1" applyFill="1" applyBorder="1" applyAlignment="1">
      <alignment horizontal="center"/>
    </xf>
    <xf numFmtId="0" fontId="81" fillId="22" borderId="20" xfId="0" applyFont="1" applyFill="1" applyBorder="1" applyAlignment="1">
      <alignment horizontal="center"/>
    </xf>
    <xf numFmtId="43" fontId="82" fillId="10" borderId="0" xfId="50" applyFont="1" applyFill="1" applyAlignment="1">
      <alignment horizontal="center" vertical="center"/>
    </xf>
    <xf numFmtId="0" fontId="83" fillId="9" borderId="35" xfId="0" applyFont="1" applyFill="1" applyBorder="1" applyAlignment="1">
      <alignment horizontal="center" vertical="center" wrapText="1"/>
    </xf>
    <xf numFmtId="0" fontId="80" fillId="0" borderId="0" xfId="0" applyFont="1" applyBorder="1" applyAlignment="1">
      <alignment vertical="center"/>
    </xf>
    <xf numFmtId="0" fontId="75" fillId="0" borderId="0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17" fillId="27" borderId="35" xfId="0" applyFont="1" applyFill="1" applyBorder="1" applyAlignment="1">
      <alignment horizontal="center" vertical="center" wrapText="1"/>
    </xf>
    <xf numFmtId="0" fontId="17" fillId="33" borderId="35" xfId="0" applyFont="1" applyFill="1" applyBorder="1" applyAlignment="1">
      <alignment horizontal="center" vertical="center" wrapText="1"/>
    </xf>
    <xf numFmtId="0" fontId="17" fillId="33" borderId="1" xfId="0" applyFont="1" applyFill="1" applyBorder="1" applyAlignment="1">
      <alignment horizontal="center" vertical="center" wrapText="1"/>
    </xf>
    <xf numFmtId="0" fontId="17" fillId="34" borderId="1" xfId="0" applyFont="1" applyFill="1" applyBorder="1" applyAlignment="1">
      <alignment horizontal="center" vertical="center" wrapText="1"/>
    </xf>
    <xf numFmtId="43" fontId="65" fillId="19" borderId="6" xfId="50" applyFont="1" applyFill="1" applyBorder="1" applyAlignment="1">
      <alignment horizontal="center" vertical="center"/>
    </xf>
    <xf numFmtId="174" fontId="65" fillId="19" borderId="6" xfId="50" applyNumberFormat="1" applyFont="1" applyFill="1" applyBorder="1" applyAlignment="1">
      <alignment horizontal="center" vertical="center"/>
    </xf>
    <xf numFmtId="0" fontId="65" fillId="19" borderId="6" xfId="0" applyFont="1" applyFill="1" applyBorder="1" applyAlignment="1">
      <alignment horizontal="center" vertical="center"/>
    </xf>
    <xf numFmtId="0" fontId="64" fillId="10" borderId="37" xfId="0" applyFont="1" applyFill="1" applyBorder="1" applyAlignment="1">
      <alignment horizontal="center" vertical="center"/>
    </xf>
    <xf numFmtId="0" fontId="64" fillId="10" borderId="38" xfId="0" applyFont="1" applyFill="1" applyBorder="1" applyAlignment="1">
      <alignment horizontal="center" vertical="center"/>
    </xf>
    <xf numFmtId="0" fontId="64" fillId="10" borderId="39" xfId="0" applyFont="1" applyFill="1" applyBorder="1" applyAlignment="1">
      <alignment horizontal="center" vertical="center"/>
    </xf>
    <xf numFmtId="0" fontId="64" fillId="10" borderId="42" xfId="0" applyFont="1" applyFill="1" applyBorder="1" applyAlignment="1">
      <alignment horizontal="center" vertical="center"/>
    </xf>
    <xf numFmtId="0" fontId="64" fillId="10" borderId="43" xfId="0" applyFont="1" applyFill="1" applyBorder="1" applyAlignment="1">
      <alignment horizontal="center" vertical="center"/>
    </xf>
    <xf numFmtId="0" fontId="64" fillId="10" borderId="44" xfId="0" applyFont="1" applyFill="1" applyBorder="1" applyAlignment="1">
      <alignment horizontal="center" vertical="center"/>
    </xf>
    <xf numFmtId="0" fontId="65" fillId="19" borderId="6" xfId="0" applyFont="1" applyFill="1" applyBorder="1" applyAlignment="1">
      <alignment horizontal="center" vertical="center" wrapText="1"/>
    </xf>
    <xf numFmtId="14" fontId="65" fillId="19" borderId="6" xfId="0" applyNumberFormat="1" applyFont="1" applyFill="1" applyBorder="1" applyAlignment="1">
      <alignment horizontal="center" vertical="center"/>
    </xf>
    <xf numFmtId="174" fontId="65" fillId="18" borderId="6" xfId="50" applyNumberFormat="1" applyFont="1" applyFill="1" applyBorder="1" applyAlignment="1">
      <alignment horizontal="center" vertical="center"/>
    </xf>
    <xf numFmtId="43" fontId="65" fillId="18" borderId="6" xfId="50" applyFont="1" applyFill="1" applyBorder="1" applyAlignment="1">
      <alignment horizontal="center" vertical="center"/>
    </xf>
    <xf numFmtId="0" fontId="65" fillId="18" borderId="6" xfId="0" applyFont="1" applyFill="1" applyBorder="1" applyAlignment="1">
      <alignment horizontal="center" vertical="center"/>
    </xf>
    <xf numFmtId="0" fontId="65" fillId="18" borderId="6" xfId="0" applyFont="1" applyFill="1" applyBorder="1" applyAlignment="1">
      <alignment horizontal="center" vertical="center" wrapText="1"/>
    </xf>
    <xf numFmtId="14" fontId="65" fillId="18" borderId="6" xfId="0" applyNumberFormat="1" applyFont="1" applyFill="1" applyBorder="1" applyAlignment="1">
      <alignment horizontal="center" vertical="center"/>
    </xf>
    <xf numFmtId="0" fontId="26" fillId="10" borderId="36" xfId="0" applyFont="1" applyFill="1" applyBorder="1" applyAlignment="1" applyProtection="1">
      <alignment horizontal="center" vertical="center"/>
      <protection locked="0"/>
    </xf>
    <xf numFmtId="0" fontId="26" fillId="10" borderId="35" xfId="0" applyFont="1" applyFill="1" applyBorder="1" applyAlignment="1" applyProtection="1">
      <alignment horizontal="center" vertical="center"/>
      <protection locked="0"/>
    </xf>
    <xf numFmtId="0" fontId="58" fillId="18" borderId="3" xfId="0" applyFont="1" applyFill="1" applyBorder="1" applyAlignment="1">
      <alignment horizontal="center" vertical="center"/>
    </xf>
    <xf numFmtId="0" fontId="58" fillId="18" borderId="0" xfId="0" applyFont="1" applyFill="1" applyBorder="1" applyAlignment="1">
      <alignment horizontal="center" vertical="center"/>
    </xf>
    <xf numFmtId="0" fontId="58" fillId="18" borderId="0" xfId="0" applyFont="1" applyFill="1" applyAlignment="1">
      <alignment horizontal="center" vertical="center"/>
    </xf>
    <xf numFmtId="0" fontId="58" fillId="18" borderId="2" xfId="0" applyFont="1" applyFill="1" applyBorder="1" applyAlignment="1">
      <alignment horizontal="center" vertical="center"/>
    </xf>
    <xf numFmtId="43" fontId="45" fillId="0" borderId="0" xfId="0" applyNumberFormat="1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43" fontId="29" fillId="0" borderId="2" xfId="50" applyFont="1" applyBorder="1" applyAlignment="1">
      <alignment horizontal="center" vertical="center"/>
    </xf>
    <xf numFmtId="43" fontId="29" fillId="0" borderId="41" xfId="50" applyFont="1" applyBorder="1" applyAlignment="1">
      <alignment horizontal="center" vertical="center"/>
    </xf>
    <xf numFmtId="43" fontId="30" fillId="0" borderId="43" xfId="50" applyFont="1" applyBorder="1" applyAlignment="1">
      <alignment horizontal="center" vertical="center"/>
    </xf>
    <xf numFmtId="43" fontId="30" fillId="0" borderId="44" xfId="50" applyFont="1" applyBorder="1" applyAlignment="1">
      <alignment horizontal="center" vertical="center"/>
    </xf>
    <xf numFmtId="0" fontId="58" fillId="19" borderId="3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164" fontId="30" fillId="0" borderId="37" xfId="0" applyNumberFormat="1" applyFont="1" applyBorder="1" applyAlignment="1">
      <alignment horizontal="center" vertical="center"/>
    </xf>
    <xf numFmtId="164" fontId="30" fillId="0" borderId="38" xfId="0" applyNumberFormat="1" applyFont="1" applyBorder="1" applyAlignment="1">
      <alignment horizontal="center" vertical="center"/>
    </xf>
    <xf numFmtId="164" fontId="30" fillId="0" borderId="39" xfId="0" applyNumberFormat="1" applyFont="1" applyBorder="1" applyAlignment="1">
      <alignment horizontal="center" vertical="center"/>
    </xf>
    <xf numFmtId="0" fontId="30" fillId="0" borderId="37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/>
    </xf>
    <xf numFmtId="0" fontId="30" fillId="0" borderId="39" xfId="0" applyFont="1" applyBorder="1" applyAlignment="1">
      <alignment horizontal="center" vertical="center"/>
    </xf>
    <xf numFmtId="43" fontId="29" fillId="0" borderId="0" xfId="50" applyFont="1" applyBorder="1" applyAlignment="1">
      <alignment horizontal="center" vertical="center"/>
    </xf>
    <xf numFmtId="0" fontId="49" fillId="29" borderId="0" xfId="0" applyFont="1" applyFill="1" applyBorder="1" applyAlignment="1">
      <alignment horizontal="center" vertical="center"/>
    </xf>
    <xf numFmtId="0" fontId="49" fillId="14" borderId="13" xfId="0" applyFont="1" applyFill="1" applyBorder="1" applyAlignment="1">
      <alignment horizontal="center" vertical="center"/>
    </xf>
    <xf numFmtId="0" fontId="49" fillId="15" borderId="13" xfId="0" applyFont="1" applyFill="1" applyBorder="1" applyAlignment="1">
      <alignment horizontal="center" vertical="center"/>
    </xf>
    <xf numFmtId="43" fontId="57" fillId="0" borderId="0" xfId="50" applyFont="1" applyAlignment="1" applyProtection="1">
      <alignment horizontal="center" vertical="center"/>
      <protection locked="0"/>
    </xf>
    <xf numFmtId="43" fontId="57" fillId="0" borderId="13" xfId="50" applyFont="1" applyBorder="1" applyAlignment="1" applyProtection="1">
      <alignment horizontal="center" vertical="center"/>
      <protection locked="0"/>
    </xf>
    <xf numFmtId="173" fontId="23" fillId="0" borderId="0" xfId="0" applyNumberFormat="1" applyFont="1" applyAlignment="1">
      <alignment horizontal="left" vertical="center" wrapText="1"/>
    </xf>
    <xf numFmtId="0" fontId="27" fillId="0" borderId="40" xfId="0" applyFont="1" applyBorder="1" applyAlignment="1">
      <alignment horizontal="right"/>
    </xf>
    <xf numFmtId="0" fontId="27" fillId="0" borderId="0" xfId="0" applyFont="1" applyAlignment="1">
      <alignment horizontal="right"/>
    </xf>
    <xf numFmtId="0" fontId="67" fillId="13" borderId="40" xfId="0" applyFont="1" applyFill="1" applyBorder="1" applyAlignment="1">
      <alignment horizontal="center" vertical="center"/>
    </xf>
    <xf numFmtId="0" fontId="67" fillId="13" borderId="0" xfId="0" applyFont="1" applyFill="1" applyAlignment="1">
      <alignment horizontal="center" vertical="center"/>
    </xf>
    <xf numFmtId="0" fontId="61" fillId="0" borderId="0" xfId="0" applyFont="1" applyAlignment="1">
      <alignment horizontal="right"/>
    </xf>
    <xf numFmtId="0" fontId="30" fillId="13" borderId="37" xfId="0" applyFont="1" applyFill="1" applyBorder="1" applyAlignment="1">
      <alignment horizontal="center" vertical="center"/>
    </xf>
    <xf numFmtId="0" fontId="30" fillId="13" borderId="38" xfId="0" applyFont="1" applyFill="1" applyBorder="1" applyAlignment="1">
      <alignment horizontal="center" vertical="center"/>
    </xf>
    <xf numFmtId="0" fontId="30" fillId="13" borderId="39" xfId="0" applyFont="1" applyFill="1" applyBorder="1" applyAlignment="1">
      <alignment horizontal="center" vertical="center"/>
    </xf>
    <xf numFmtId="0" fontId="30" fillId="13" borderId="40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0" fillId="13" borderId="4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6" fillId="30" borderId="0" xfId="0" applyFont="1" applyFill="1" applyAlignment="1">
      <alignment horizontal="left"/>
    </xf>
    <xf numFmtId="0" fontId="46" fillId="22" borderId="0" xfId="0" applyFont="1" applyFill="1" applyAlignment="1">
      <alignment horizontal="left"/>
    </xf>
    <xf numFmtId="0" fontId="46" fillId="16" borderId="0" xfId="0" applyFont="1" applyFill="1" applyAlignment="1">
      <alignment horizontal="left"/>
    </xf>
    <xf numFmtId="0" fontId="46" fillId="0" borderId="0" xfId="0" applyFont="1" applyAlignment="1">
      <alignment horizontal="left"/>
    </xf>
    <xf numFmtId="0" fontId="49" fillId="32" borderId="13" xfId="0" applyFont="1" applyFill="1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/>
    </xf>
    <xf numFmtId="0" fontId="22" fillId="11" borderId="10" xfId="0" applyFont="1" applyFill="1" applyBorder="1" applyAlignment="1">
      <alignment horizontal="center" vertical="center"/>
    </xf>
    <xf numFmtId="0" fontId="22" fillId="11" borderId="11" xfId="0" applyFont="1" applyFill="1" applyBorder="1" applyAlignment="1">
      <alignment horizontal="center" vertical="center"/>
    </xf>
    <xf numFmtId="0" fontId="19" fillId="0" borderId="0" xfId="0" applyFont="1" applyAlignment="1">
      <alignment horizontal="left" wrapText="1"/>
    </xf>
    <xf numFmtId="0" fontId="35" fillId="8" borderId="16" xfId="8" applyFont="1" applyFill="1" applyBorder="1" applyAlignment="1">
      <alignment horizontal="center"/>
    </xf>
    <xf numFmtId="0" fontId="35" fillId="8" borderId="17" xfId="8" applyFont="1" applyFill="1" applyBorder="1" applyAlignment="1">
      <alignment horizontal="center"/>
    </xf>
    <xf numFmtId="0" fontId="0" fillId="0" borderId="0" xfId="0" applyAlignment="1">
      <alignment horizontal="center"/>
    </xf>
    <xf numFmtId="49" fontId="4" fillId="27" borderId="0" xfId="0" applyNumberFormat="1" applyFont="1" applyFill="1" applyAlignment="1">
      <alignment horizontal="center"/>
    </xf>
    <xf numFmtId="0" fontId="46" fillId="0" borderId="0" xfId="0" applyFont="1" applyAlignment="1">
      <alignment horizontal="center"/>
    </xf>
  </cellXfs>
  <cellStyles count="60">
    <cellStyle name="ConditionalStyle_1" xfId="3" xr:uid="{00000000-0005-0000-0000-000000000000}"/>
    <cellStyle name="Excel Built-in Comma" xfId="4" xr:uid="{00000000-0005-0000-0000-000001000000}"/>
    <cellStyle name="Excel Built-in Excel Built-in Excel Built-in Excel Built-in Normal" xfId="5" xr:uid="{00000000-0005-0000-0000-000002000000}"/>
    <cellStyle name="Excel Built-in Excel Built-in Excel Built-in Normal" xfId="6" xr:uid="{00000000-0005-0000-0000-000003000000}"/>
    <cellStyle name="Excel Built-in Excel Built-in Excel Built-in Normal 2" xfId="7" xr:uid="{00000000-0005-0000-0000-000004000000}"/>
    <cellStyle name="Excel Built-in Normal" xfId="8" xr:uid="{00000000-0005-0000-0000-000005000000}"/>
    <cellStyle name="Excel Built-in Normal 2" xfId="9" xr:uid="{00000000-0005-0000-0000-000006000000}"/>
    <cellStyle name="Excel Built-in Percent" xfId="10" xr:uid="{00000000-0005-0000-0000-000007000000}"/>
    <cellStyle name="Heading" xfId="11" xr:uid="{00000000-0005-0000-0000-000008000000}"/>
    <cellStyle name="Heading1" xfId="12" xr:uid="{00000000-0005-0000-0000-000009000000}"/>
    <cellStyle name="Hipervínculo 2" xfId="13" xr:uid="{00000000-0005-0000-0000-00000A000000}"/>
    <cellStyle name="Millares" xfId="50" builtinId="3"/>
    <cellStyle name="Millares 18" xfId="14" xr:uid="{00000000-0005-0000-0000-00000C000000}"/>
    <cellStyle name="Millares 2" xfId="2" xr:uid="{00000000-0005-0000-0000-00000D000000}"/>
    <cellStyle name="Millares 2 2" xfId="15" xr:uid="{00000000-0005-0000-0000-00000E000000}"/>
    <cellStyle name="Millares 3" xfId="16" xr:uid="{00000000-0005-0000-0000-00000F000000}"/>
    <cellStyle name="Millares 3 3" xfId="1" xr:uid="{00000000-0005-0000-0000-000010000000}"/>
    <cellStyle name="Millares 4" xfId="53" xr:uid="{00000000-0005-0000-0000-000011000000}"/>
    <cellStyle name="Millares 5" xfId="55" xr:uid="{00000000-0005-0000-0000-000012000000}"/>
    <cellStyle name="Millares 7" xfId="58" xr:uid="{00000000-0005-0000-0000-000013000000}"/>
    <cellStyle name="Normal" xfId="0" builtinId="0"/>
    <cellStyle name="Normal 10" xfId="17" xr:uid="{00000000-0005-0000-0000-000015000000}"/>
    <cellStyle name="Normal 10 2" xfId="18" xr:uid="{00000000-0005-0000-0000-000016000000}"/>
    <cellStyle name="Normal 13" xfId="19" xr:uid="{00000000-0005-0000-0000-000017000000}"/>
    <cellStyle name="Normal 13 2" xfId="20" xr:uid="{00000000-0005-0000-0000-000018000000}"/>
    <cellStyle name="Normal 2" xfId="21" xr:uid="{00000000-0005-0000-0000-000019000000}"/>
    <cellStyle name="Normal 2 2" xfId="22" xr:uid="{00000000-0005-0000-0000-00001A000000}"/>
    <cellStyle name="Normal 2 3" xfId="23" xr:uid="{00000000-0005-0000-0000-00001B000000}"/>
    <cellStyle name="Normal 2 4" xfId="24" xr:uid="{00000000-0005-0000-0000-00001C000000}"/>
    <cellStyle name="Normal 2 6" xfId="25" xr:uid="{00000000-0005-0000-0000-00001D000000}"/>
    <cellStyle name="Normal 2 8" xfId="26" xr:uid="{00000000-0005-0000-0000-00001E000000}"/>
    <cellStyle name="Normal 2 8 2" xfId="27" xr:uid="{00000000-0005-0000-0000-00001F000000}"/>
    <cellStyle name="Normal 3" xfId="28" xr:uid="{00000000-0005-0000-0000-000020000000}"/>
    <cellStyle name="Normal 3 2" xfId="52" xr:uid="{00000000-0005-0000-0000-000021000000}"/>
    <cellStyle name="Normal 4" xfId="29" xr:uid="{00000000-0005-0000-0000-000022000000}"/>
    <cellStyle name="Normal 4 2" xfId="30" xr:uid="{00000000-0005-0000-0000-000023000000}"/>
    <cellStyle name="Normal 5" xfId="31" xr:uid="{00000000-0005-0000-0000-000024000000}"/>
    <cellStyle name="Normal 5 2" xfId="56" xr:uid="{00000000-0005-0000-0000-000025000000}"/>
    <cellStyle name="Normal 6" xfId="32" xr:uid="{00000000-0005-0000-0000-000026000000}"/>
    <cellStyle name="Normal 7" xfId="54" xr:uid="{00000000-0005-0000-0000-000027000000}"/>
    <cellStyle name="Normal 7 2" xfId="33" xr:uid="{00000000-0005-0000-0000-000028000000}"/>
    <cellStyle name="Normal 7 2 2" xfId="34" xr:uid="{00000000-0005-0000-0000-000029000000}"/>
    <cellStyle name="Normal 8" xfId="51" xr:uid="{00000000-0005-0000-0000-00002A000000}"/>
    <cellStyle name="Normal 9" xfId="57" xr:uid="{00000000-0005-0000-0000-00002B000000}"/>
    <cellStyle name="Porcentaje" xfId="59" builtinId="5"/>
    <cellStyle name="Porcentaje 2" xfId="35" xr:uid="{00000000-0005-0000-0000-00002D000000}"/>
    <cellStyle name="Porcentaje 3" xfId="36" xr:uid="{00000000-0005-0000-0000-00002E000000}"/>
    <cellStyle name="Result" xfId="37" xr:uid="{00000000-0005-0000-0000-00002F000000}"/>
    <cellStyle name="Result2" xfId="38" xr:uid="{00000000-0005-0000-0000-000030000000}"/>
    <cellStyle name="SAPBEXchaText" xfId="39" xr:uid="{00000000-0005-0000-0000-000031000000}"/>
    <cellStyle name="SAPBEXchaText 2" xfId="40" xr:uid="{00000000-0005-0000-0000-000032000000}"/>
    <cellStyle name="Sin nombre1" xfId="41" xr:uid="{00000000-0005-0000-0000-000033000000}"/>
    <cellStyle name="Sin nombre1 2" xfId="42" xr:uid="{00000000-0005-0000-0000-000034000000}"/>
    <cellStyle name="Sin nombre2" xfId="43" xr:uid="{00000000-0005-0000-0000-000035000000}"/>
    <cellStyle name="Sin nombre2 2" xfId="44" xr:uid="{00000000-0005-0000-0000-000036000000}"/>
    <cellStyle name="Sin nombre3" xfId="45" xr:uid="{00000000-0005-0000-0000-000037000000}"/>
    <cellStyle name="Sin nombre3 2" xfId="46" xr:uid="{00000000-0005-0000-0000-000038000000}"/>
    <cellStyle name="Sin nombre4" xfId="47" xr:uid="{00000000-0005-0000-0000-000039000000}"/>
    <cellStyle name="Sin nombre5" xfId="48" xr:uid="{00000000-0005-0000-0000-00003A000000}"/>
    <cellStyle name="TableStyleLight1" xfId="49" xr:uid="{00000000-0005-0000-0000-00003B000000}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9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7" formatCode="0.000"/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" formatCode="0"/>
      <fill>
        <patternFill patternType="solid">
          <fgColor indexed="64"/>
          <bgColor theme="3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theme="8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74" formatCode="_ * #,##0_ ;_ * \-#,##0_ ;_ * &quot;-&quot;??_ ;_ @_ 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80" formatCode="#,##0.00;[Red]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80" formatCode="#,##0.00;[Red]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80" formatCode="#,##0.00;[Red]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75" formatCode="dd/mm/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vertical="center" textRotation="0" indent="0" justifyLastLine="0" shrinkToFit="0" readingOrder="0"/>
      <border outline="0">
        <left style="thin">
          <color indexed="64"/>
        </lef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Estilo de tabla 1" pivot="0" count="0" xr9:uid="{00000000-0011-0000-FFFF-FFFF00000000}"/>
    <tableStyle name="Invisible" pivot="0" table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0</xdr:row>
          <xdr:rowOff>266700</xdr:rowOff>
        </xdr:from>
        <xdr:to>
          <xdr:col>6</xdr:col>
          <xdr:colOff>609600</xdr:colOff>
          <xdr:row>1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828675</xdr:colOff>
          <xdr:row>0</xdr:row>
          <xdr:rowOff>257175</xdr:rowOff>
        </xdr:from>
        <xdr:to>
          <xdr:col>8</xdr:col>
          <xdr:colOff>333375</xdr:colOff>
          <xdr:row>1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428625</xdr:colOff>
          <xdr:row>0</xdr:row>
          <xdr:rowOff>66675</xdr:rowOff>
        </xdr:from>
        <xdr:to>
          <xdr:col>10</xdr:col>
          <xdr:colOff>828675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47</xdr:row>
          <xdr:rowOff>38100</xdr:rowOff>
        </xdr:from>
        <xdr:to>
          <xdr:col>4</xdr:col>
          <xdr:colOff>9525</xdr:colOff>
          <xdr:row>50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Pastas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47</xdr:row>
          <xdr:rowOff>9525</xdr:rowOff>
        </xdr:from>
        <xdr:to>
          <xdr:col>8</xdr:col>
          <xdr:colOff>714375</xdr:colOff>
          <xdr:row>50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Nuciven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47</xdr:row>
          <xdr:rowOff>38100</xdr:rowOff>
        </xdr:from>
        <xdr:to>
          <xdr:col>12</xdr:col>
          <xdr:colOff>561975</xdr:colOff>
          <xdr:row>50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Molvenca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39</xdr:col>
      <xdr:colOff>453626</xdr:colOff>
      <xdr:row>3</xdr:row>
      <xdr:rowOff>107157</xdr:rowOff>
    </xdr:from>
    <xdr:ext cx="2427685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21349095" y="762001"/>
              <a:ext cx="2427685" cy="381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s-ES" sz="11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s-ES" sz="110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100" i="0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ES" sz="1100" i="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ES" sz="1100" i="0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ES" sz="1100" i="0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s-ES" sz="1100" i="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ES" sz="1100" i="0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den>
                    </m:f>
                    <m:r>
                      <a:rPr lang="es-ES" sz="1100" i="0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s-ES" sz="110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ES" sz="1100" i="0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E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s-ES" sz="110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ES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002E3DA-6D22-F7DF-A9EE-C83B3ED601C3}"/>
                </a:ext>
              </a:extLst>
            </xdr:cNvPr>
            <xdr:cNvSpPr txBox="1"/>
          </xdr:nvSpPr>
          <xdr:spPr>
            <a:xfrm>
              <a:off x="21349095" y="762001"/>
              <a:ext cx="2427685" cy="381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s-ES" sz="1100" i="0">
                  <a:latin typeface="Cambria Math" panose="02040503050406030204" pitchFamily="18" charset="0"/>
                </a:rPr>
                <a:t>𝑦=𝑦</a:t>
              </a:r>
              <a:r>
                <a:rPr lang="es-E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es-ES" sz="1100" i="0">
                  <a:latin typeface="Cambria Math" panose="02040503050406030204" pitchFamily="18" charset="0"/>
                </a:rPr>
                <a:t>1+</a:t>
              </a:r>
              <a:r>
                <a:rPr lang="es-E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s-ES" sz="1100" i="0">
                  <a:latin typeface="Cambria Math" panose="02040503050406030204" pitchFamily="18" charset="0"/>
                </a:rPr>
                <a:t>𝑥−𝑥</a:t>
              </a:r>
              <a:r>
                <a:rPr lang="es-E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es-ES" sz="1100" i="0">
                  <a:latin typeface="Cambria Math" panose="02040503050406030204" pitchFamily="18" charset="0"/>
                </a:rPr>
                <a:t>1</a:t>
              </a:r>
              <a:r>
                <a:rPr lang="es-E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)/(</a:t>
              </a:r>
              <a:r>
                <a:rPr lang="es-ES" sz="1100" i="0">
                  <a:latin typeface="Cambria Math" panose="02040503050406030204" pitchFamily="18" charset="0"/>
                </a:rPr>
                <a:t>𝑥</a:t>
              </a:r>
              <a:r>
                <a:rPr lang="es-E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es-ES" sz="1100" i="0">
                  <a:latin typeface="Cambria Math" panose="02040503050406030204" pitchFamily="18" charset="0"/>
                </a:rPr>
                <a:t>2−𝑥</a:t>
              </a:r>
              <a:r>
                <a:rPr lang="es-E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es-ES" sz="1100" i="0">
                  <a:latin typeface="Cambria Math" panose="02040503050406030204" pitchFamily="18" charset="0"/>
                </a:rPr>
                <a:t>1 </a:t>
              </a:r>
              <a:r>
                <a:rPr lang="es-E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s-ES" sz="1100" i="0">
                  <a:latin typeface="Cambria Math" panose="02040503050406030204" pitchFamily="18" charset="0"/>
                </a:rPr>
                <a:t>×𝑦</a:t>
              </a:r>
              <a:r>
                <a:rPr lang="es-E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es-ES" sz="1100" i="0">
                  <a:latin typeface="Cambria Math" panose="02040503050406030204" pitchFamily="18" charset="0"/>
                </a:rPr>
                <a:t>2−𝑦</a:t>
              </a:r>
              <a:r>
                <a:rPr lang="es-E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es-ES" sz="1100" i="0">
                  <a:latin typeface="Cambria Math" panose="02040503050406030204" pitchFamily="18" charset="0"/>
                </a:rPr>
                <a:t>1</a:t>
              </a:r>
              <a:endParaRPr lang="es-ES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sstadmin\Downloads\Users\TRANSP~1\AppData\Local\Temp\Bitacora\compartido%20TSC\DOCUME~1\GESSTA~1\CONFIG~1\Temp\Copia%20de%20Carga%20de%20Guias%20Amarillas%20v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mpartido%20TSC\DOCUME~1\GESSTA~1\CONFIG~1\Temp\Copia%20de%20Carga%20de%20Guias%20Amarillas%20v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sstadmin\Downloads\Users\TRANSP~1\AppData\Local\Temp\Bitacora\06%20Bitacora%20Junio%20201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RANSP~1\AppData\Local\Temp\Bitacora\08%20Bitacora%20Agosto%20201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sstadmin\Downloads\Users\TRANSP~1\AppData\Local\Temp\Bitacora\08%20Bitacora%20Agosto%2020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O DE CARGA"/>
      <sheetName val="BONO DE CARGA OBRERO"/>
      <sheetName val="Clientes"/>
      <sheetName val="ENERO 2013"/>
      <sheetName val="FEBRERO 2013"/>
      <sheetName val="MARZO 2013"/>
      <sheetName val="ABRIL 2013"/>
      <sheetName val="MAYO 2013"/>
      <sheetName val="JUNIO 2013"/>
      <sheetName val="JULIO 2013"/>
      <sheetName val="AGOSTO 2013"/>
      <sheetName val="Dertalles de Carga"/>
      <sheetName val="SEPTIEMBRE 2013"/>
      <sheetName val="Maestro de Clientes"/>
      <sheetName val="Maestro Trasnporte"/>
      <sheetName val="Maestros de Productos"/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Tabulad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O DE CARGA"/>
      <sheetName val="BONO DE CARGA OBRERO"/>
      <sheetName val="Clientes"/>
      <sheetName val="ENERO 2013"/>
      <sheetName val="FEBRERO 2013"/>
      <sheetName val="MARZO 2013"/>
      <sheetName val="ABRIL 2013"/>
      <sheetName val="MAYO 2013"/>
      <sheetName val="JUNIO 2013"/>
      <sheetName val="JULIO 2013"/>
      <sheetName val="AGOSTO 2013"/>
      <sheetName val="Dertalles de Carga"/>
      <sheetName val="SEPTIEMBRE 2013"/>
      <sheetName val="Maestro de Clientes"/>
      <sheetName val="Maestro Trasnporte"/>
      <sheetName val="Maestros de Productos"/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ulador "/>
      <sheetName val="CARGA ALM.PPAL"/>
      <sheetName val="CALCULOS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ulador "/>
      <sheetName val="96"/>
      <sheetName val="Venserca"/>
      <sheetName val="Hnos Luna"/>
      <sheetName val="CARGA ALM.PPAL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ulador "/>
      <sheetName val="96"/>
      <sheetName val="Venserca"/>
      <sheetName val="Hnos Luna"/>
      <sheetName val="CARGA ALM.PPAL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3:BA45" totalsRowShown="0" headerRowDxfId="57" dataDxfId="55" headerRowBorderDxfId="56" tableBorderDxfId="54" totalsRowBorderDxfId="53" dataCellStyle="Millares">
  <autoFilter ref="A3:BA45" xr:uid="{00000000-0009-0000-0100-000001000000}"/>
  <tableColumns count="53">
    <tableColumn id="1" xr3:uid="{00000000-0010-0000-0000-000001000000}" name="N° Guia" dataDxfId="52"/>
    <tableColumn id="2" xr3:uid="{00000000-0010-0000-0000-000002000000}" name="N° Guia2" dataDxfId="51"/>
    <tableColumn id="41" xr3:uid="{00000000-0010-0000-0000-000029000000}" name="N° Guia3" dataDxfId="50"/>
    <tableColumn id="3" xr3:uid="{00000000-0010-0000-0000-000003000000}" name="Cliente" dataDxfId="49"/>
    <tableColumn id="4" xr3:uid="{00000000-0010-0000-0000-000004000000}" name="Destino" dataDxfId="48"/>
    <tableColumn id="5" xr3:uid="{00000000-0010-0000-0000-000005000000}" name="Región" dataDxfId="47"/>
    <tableColumn id="6" xr3:uid="{00000000-0010-0000-0000-000006000000}" name="Fecha Solicitud" dataDxfId="46"/>
    <tableColumn id="7" xr3:uid="{00000000-0010-0000-0000-000007000000}" name="Pasta (Kgs.)" dataDxfId="45" dataCellStyle="Millares"/>
    <tableColumn id="8" xr3:uid="{00000000-0010-0000-0000-000008000000}" name="Confites (Cjs.)" dataDxfId="44" dataCellStyle="Millares"/>
    <tableColumn id="9" xr3:uid="{00000000-0010-0000-0000-000009000000}" name="Confites (Kgs.)" dataDxfId="43" dataCellStyle="Millares"/>
    <tableColumn id="42" xr3:uid="{00000000-0010-0000-0000-00002A000000}" name="Harina kg" dataDxfId="42" dataCellStyle="Millares"/>
    <tableColumn id="10" xr3:uid="{00000000-0010-0000-0000-00000A000000}" name="Total Kgs." dataDxfId="41" dataCellStyle="Millares"/>
    <tableColumn id="11" xr3:uid="{00000000-0010-0000-0000-00000B000000}" name="KGS PASTA" dataDxfId="40" dataCellStyle="Millares"/>
    <tableColumn id="12" xr3:uid="{00000000-0010-0000-0000-00000C000000}" name="PEAJE" dataDxfId="39"/>
    <tableColumn id="39" xr3:uid="{00000000-0010-0000-0000-000027000000}" name="KG CARGA" dataDxfId="38"/>
    <tableColumn id="13" xr3:uid="{00000000-0010-0000-0000-00000D000000}" name="Cap." dataDxfId="37"/>
    <tableColumn id="14" xr3:uid="{00000000-0010-0000-0000-00000E000000}" name="Tipo" dataDxfId="36">
      <calculatedColumnFormula>IF(P4&lt;&gt;"",IF(P4=1200,18,IF(P4=1500,47,IF(P4=2500,10,IF(P4=3500,11,IF(P4=5000,12,IF(P4=6000,13,IF(P4=7500,14,IF(P4=10000,15,IF(P4=12000,45,IF(P4=15000,46,16)))))))))),"")</calculatedColumnFormula>
    </tableColumn>
    <tableColumn id="15" xr3:uid="{00000000-0010-0000-0000-00000F000000}" name="Choferes" dataDxfId="35"/>
    <tableColumn id="16" xr3:uid="{00000000-0010-0000-0000-000010000000}" name="BASE DE FLETE" dataDxfId="34" dataCellStyle="Millares">
      <calculatedColumnFormula>IF(OR(A4&lt;&gt;"",B4&lt;&gt;""),IF(E4&lt;&gt;"",VLOOKUP(E4,#REF!,Q4,FALSE),""),"")</calculatedColumnFormula>
    </tableColumn>
    <tableColumn id="17" xr3:uid="{00000000-0010-0000-0000-000011000000}" name="C" dataDxfId="33" dataCellStyle="Millares"/>
    <tableColumn id="18" xr3:uid="{00000000-0010-0000-0000-000012000000}" name="M" dataDxfId="32" dataCellStyle="Millares"/>
    <tableColumn id="19" xr3:uid="{00000000-0010-0000-0000-000013000000}" name="D" dataDxfId="31" dataCellStyle="Millares"/>
    <tableColumn id="20" xr3:uid="{00000000-0010-0000-0000-000014000000}" name="R" dataDxfId="30" dataCellStyle="Millares"/>
    <tableColumn id="36" xr3:uid="{00000000-0010-0000-0000-000024000000}" name="F" dataDxfId="29" dataCellStyle="Millares"/>
    <tableColumn id="37" xr3:uid="{00000000-0010-0000-0000-000025000000}" name="EM" dataDxfId="28" dataCellStyle="Millares">
      <calculatedColumnFormula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calculatedColumnFormula>
    </tableColumn>
    <tableColumn id="21" xr3:uid="{00000000-0010-0000-0000-000015000000}" name="FACTOR Bs/k" dataDxfId="27" dataCellStyle="Millares">
      <calculatedColumnFormula>IF(Tabla1[[#This Row],[Cap.]]&lt;&gt;"",Tabla1[[#This Row],[BASE DE FLETE]]/Tabla1[[#This Row],[Cap.]],"")</calculatedColumnFormula>
    </tableColumn>
    <tableColumn id="22" xr3:uid="{00000000-0010-0000-0000-000016000000}" name="Flete" dataDxfId="26" dataCellStyle="Millares">
      <calculatedColumnFormula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calculatedColumnFormula>
    </tableColumn>
    <tableColumn id="23" xr3:uid="{00000000-0010-0000-0000-000017000000}" name="Flete sec." dataDxfId="25" dataCellStyle="Millares">
      <calculatedColumnFormula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calculatedColumnFormula>
    </tableColumn>
    <tableColumn id="24" xr3:uid="{00000000-0010-0000-0000-000018000000}" name="Reparto" dataDxfId="24" dataCellStyle="Millares">
      <calculatedColumnFormula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calculatedColumnFormula>
    </tableColumn>
    <tableColumn id="25" xr3:uid="{00000000-0010-0000-0000-000019000000}" name="Desvío" dataDxfId="23" dataCellStyle="Millares">
      <calculatedColumnFormula>IF(Tabla1[[#This Row],[D]]&lt;&gt;"",IF(VLOOKUP(P4,#REF!,5,FALSE)=1,IF(Tabla1[[#This Row],[EM]]="P/N",(ROUND(VLOOKUP(P4,#REF!,10,FALSE)/P4,2)*Tabla1[[#This Row],[KGS PASTA]])*Tabla1[[#This Row],[D]],IF(Tabla1[[#This Row],[EM]]="P",ROUND(VLOOKUP(P4,#REF!,10,FALSE)/P4,2)*Tabla1[[#This Row],[KGS PASTA]]*Tabla1[[#This Row],[D]],"")),IF(Tabla1[[#This Row],[EM]]="P/N",(ROUND(VLOOKUP(P4,#REF!,5,FALSE)*Tabla1[[#This Row],[Flete]],2))*Tabla1[[#This Row],[D]],IF(Tabla1[[#This Row],[EM]]="P",VLOOKUP(P4,#REF!,5,FALSE)*Tabla1[[#This Row],[Flete]]*Tabla1[[#This Row],[D]],""))),"")</calculatedColumnFormula>
    </tableColumn>
    <tableColumn id="26" xr3:uid="{00000000-0010-0000-0000-00001A000000}" name="Peaje3" dataDxfId="22" dataCellStyle="Millares">
      <calculatedColumnFormula>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</calculatedColumnFormula>
    </tableColumn>
    <tableColumn id="27" xr3:uid="{00000000-0010-0000-0000-00001B000000}" name="Mora" dataDxfId="21" dataCellStyle="Millares">
      <calculatedColumnFormula>IF(Tabla1[[#This Row],[M]]&lt;&gt;"",IF(VLOOKUP(P4,#REF!,3,FALSE)=1,IF(Tabla1[[#This Row],[EM]]="P/N",(ROUND(VLOOKUP(P4,#REF!,8,FALSE)/P4,2)*Tabla1[[#This Row],[KGS PASTA]])*Tabla1[[#This Row],[M]],IF(Tabla1[[#This Row],[EM]]="P",ROUND(VLOOKUP(P4,#REF!,8,FALSE)/P4,2)*Tabla1[[#This Row],[KGS PASTA]]*Tabla1[[#This Row],[M]],"")),IF(Tabla1[[#This Row],[EM]]="P/N",(ROUND(VLOOKUP(P4,#REF!,3,FALSE)*Tabla1[[#This Row],[Flete]],2))*Tabla1[[#This Row],[M]],IF(Tabla1[[#This Row],[EM]]="P",VLOOKUP(P4,#REF!,3,FALSE)*Tabla1[[#This Row],[Flete]]*Tabla1[[#This Row],[M]],""))),"")</calculatedColumnFormula>
    </tableColumn>
    <tableColumn id="28" xr3:uid="{00000000-0010-0000-0000-00001C000000}" name="Fin semana" dataDxfId="20" dataCellStyle="Millares">
      <calculatedColumnFormula>IF(Tabla1[[#This Row],[F]]&lt;&gt;"",IF(VLOOKUP(P4,#REF!,6,FALSE)=1,IF(Tabla1[[#This Row],[EM]]="P/N",(ROUND(VLOOKUP(P4,#REF!,11,FALSE)/P4,2)*Tabla1[[#This Row],[KGS PASTA]])*Tabla1[[#This Row],[F]],IF(Tabla1[[#This Row],[EM]]="P",ROUND(VLOOKUP(P4,#REF!,11,FALSE)/P4,2)*Tabla1[[#This Row],[KGS PASTA]]*Tabla1[[#This Row],[F]],"")),IF(Tabla1[[#This Row],[EM]]="P/N",(ROUND(VLOOKUP(P4,#REF!,6,FALSE)*Tabla1[[#This Row],[Flete]],2))*Tabla1[[#This Row],[F]],IF(Tabla1[[#This Row],[EM]]="P",VLOOKUP(P4,#REF!,6,FALSE)*Tabla1[[#This Row],[Flete]]*Tabla1[[#This Row],[F]],""))),"")</calculatedColumnFormula>
    </tableColumn>
    <tableColumn id="29" xr3:uid="{00000000-0010-0000-0000-00001D000000}" name="Flete4" dataDxfId="19" dataCellStyle="Millares">
      <calculatedColumnFormula>IF(S4&lt;&gt;"",IF(Tabla1[[#This Row],[EM]]="P/N",S4-(AA4+AO4),IF(Tabla1[[#This Row],[EM]]="N",S4,"")),"")</calculatedColumnFormula>
    </tableColumn>
    <tableColumn id="30" xr3:uid="{00000000-0010-0000-0000-00001E000000}" name="Flete sec. N" dataDxfId="18" dataCellStyle="Millares">
      <calculatedColumnFormula>IF(T4&lt;&gt;"",IF(Tabla1[[#This Row],[EM]]="P/N",VLOOKUP(Tabla1[[#This Row],[Cap.]],Tabulador!$B$3:$L$13,7,FALSE)*Tabla1[[#This Row],[C]]-(AB4+AP4),IF(Tabla1[[#This Row],[EM]]="N",VLOOKUP(Tabla1[[#This Row],[Cap.]],Tabulador!$B$3:$L$13,7,FALSE)*Tabla1[[#This Row],[C]],"")),"")</calculatedColumnFormula>
    </tableColumn>
    <tableColumn id="31" xr3:uid="{00000000-0010-0000-0000-00001F000000}" name="Reparto6" dataDxfId="17" dataCellStyle="Millares">
      <calculatedColumnFormula>IF(Tabla1[[#This Row],[R]]&lt;&gt;"",IF(VLOOKUP(P4,#REF!,4,FALSE)=1,IF(Tabla1[[#This Row],[EM]]="P/N",(ROUND(VLOOKUP(P4,#REF!,9,FALSE),2)*Tabla1[[#This Row],[R]]-Tabla1[[#This Row],[Reparto]]),IF(Tabla1[[#This Row],[EM]]="N",ROUND(VLOOKUP(P4,#REF!,9,FALSE),2)*Tabla1[[#This Row],[R]],"")),IF(Tabla1[[#This Row],[EM]]="P/N",(ROUND(VLOOKUP(P4,#REF!,4,FALSE)*Tabla1[[#This Row],[BASE DE FLETE]],2)*Tabla1[[#This Row],[R]]-Tabla1[[#This Row],[Reparto]]),IF(Tabla1[[#This Row],[EM]]="N",VLOOKUP(P4,#REF!,4,FALSE)*Tabla1[[#This Row],[BASE DE FLETE]]*Tabla1[[#This Row],[R]],""))),"")</calculatedColumnFormula>
    </tableColumn>
    <tableColumn id="32" xr3:uid="{00000000-0010-0000-0000-000020000000}" name="Desvío7" dataDxfId="16" dataCellStyle="Millares">
      <calculatedColumnFormula>IF(Tabla1[[#This Row],[D]]&lt;&gt;"",IF(VLOOKUP(P4,#REF!,5,FALSE)=1,IF(Tabla1[[#This Row],[EM]]="P/N",(ROUND(VLOOKUP(P4,#REF!,10,FALSE),2)*Tabla1[[#This Row],[D]]-Tabla1[[#This Row],[Desvío]]),IF(Tabla1[[#This Row],[EM]]="N",ROUND(VLOOKUP(P4,#REF!,10,FALSE),2)*Tabla1[[#This Row],[D]],"")),IF(Tabla1[[#This Row],[EM]]="P/N",(ROUND(VLOOKUP(P4,#REF!,5,FALSE)*Tabla1[[#This Row],[BASE DE FLETE]],2)*Tabla1[[#This Row],[D]]-Tabla1[[#This Row],[Desvío]]),IF(Tabla1[[#This Row],[EM]]="N",VLOOKUP(P4,#REF!,5,FALSE)*Tabla1[[#This Row],[BASE DE FLETE]]*Tabla1[[#This Row],[D]],""))),"")</calculatedColumnFormula>
    </tableColumn>
    <tableColumn id="33" xr3:uid="{00000000-0010-0000-0000-000021000000}" name="Peaje8" dataDxfId="15" dataCellStyle="Millares"/>
    <tableColumn id="34" xr3:uid="{00000000-0010-0000-0000-000022000000}" name="Mora9" dataDxfId="14" dataCellStyle="Millares">
      <calculatedColumnFormula>IF(Tabla1[[#This Row],[M]]&lt;&gt;"",IF(VLOOKUP(P4,#REF!,3,FALSE)=1,IF(Tabla1[[#This Row],[EM]]="P/N",(ROUND(VLOOKUP(P4,#REF!,8,FALSE),2)*Tabla1[[#This Row],[M]]-Tabla1[[#This Row],[Mora]]),IF(Tabla1[[#This Row],[EM]]="N",ROUND(VLOOKUP(P4,#REF!,8,FALSE),2)*Tabla1[[#This Row],[M]],"")),IF(Tabla1[[#This Row],[EM]]="P/N",ROUND(VLOOKUP(P4,#REF!,3,FALSE)*Tabla1[[#This Row],[BASE DE FLETE]]*Tabla1[[#This Row],[M]]-Tabla1[[#This Row],[Mora]],2),IF(Tabla1[[#This Row],[EM]]="N",VLOOKUP(P4,#REF!,3,FALSE)*Tabla1[[#This Row],[BASE DE FLETE]]*Tabla1[[#This Row],[M]],""))),"")</calculatedColumnFormula>
    </tableColumn>
    <tableColumn id="35" xr3:uid="{00000000-0010-0000-0000-000023000000}" name="Fin semana10" dataDxfId="13" dataCellStyle="Millares">
      <calculatedColumnFormula>IF(Tabla1[[#This Row],[F]]&lt;&gt;"",IF(VLOOKUP(P4,#REF!,6,FALSE)=1,IF(Tabla1[[#This Row],[EM]]="P/N",(ROUND(VLOOKUP(P4,#REF!,11,FALSE),2)*Tabla1[[#This Row],[F]]-Tabla1[[#This Row],[Fin semana]]),IF(Tabla1[[#This Row],[EM]]="N",ROUND(VLOOKUP(P4,#REF!,11,FALSE),2)*Tabla1[[#This Row],[F]]-Tabla1[[#This Row],[Fin semana]],"")),IF(Tabla1[[#This Row],[EM]]="P/N",(ROUND(VLOOKUP(P4,#REF!,6,FALSE)*Tabla1[[#This Row],[BASE DE FLETE]],2)*Tabla1[[#This Row],[F]]-Tabla1[[#This Row],[Fin semana]]),IF(Tabla1[[#This Row],[EM]]="N",VLOOKUP(P4,#REF!,6,FALSE)*Tabla1[[#This Row],[BASE DE FLETE]]*Tabla1[[#This Row],[F]],""))),"")</calculatedColumnFormula>
    </tableColumn>
    <tableColumn id="43" xr3:uid="{00000000-0010-0000-0000-00002B000000}" name="Flete Mol" dataDxfId="12" dataCellStyle="Millares">
      <calculatedColumnFormula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calculatedColumnFormula>
    </tableColumn>
    <tableColumn id="44" xr3:uid="{00000000-0010-0000-0000-00002C000000}" name="Flete sec Mol" dataDxfId="11" dataCellStyle="Millares">
      <calculatedColumnFormula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calculatedColumnFormula>
    </tableColumn>
    <tableColumn id="45" xr3:uid="{00000000-0010-0000-0000-00002D000000}" name="Reparto Mol" dataDxfId="10" dataCellStyle="Millares">
      <calculatedColumnFormula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calculatedColumnFormula>
    </tableColumn>
    <tableColumn id="46" xr3:uid="{00000000-0010-0000-0000-00002E000000}" name="Desv. Mol" dataDxfId="9" dataCellStyle="Millares">
      <calculatedColumnFormula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calculatedColumnFormula>
    </tableColumn>
    <tableColumn id="47" xr3:uid="{00000000-0010-0000-0000-00002F000000}" name="Peaje Mol" dataDxfId="8" dataCellStyle="Millares">
      <calculatedColumnFormula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calculatedColumnFormula>
    </tableColumn>
    <tableColumn id="48" xr3:uid="{00000000-0010-0000-0000-000030000000}" name="Mora Mol" dataDxfId="7" dataCellStyle="Millares">
      <calculatedColumnFormula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calculatedColumnFormula>
    </tableColumn>
    <tableColumn id="49" xr3:uid="{00000000-0010-0000-0000-000031000000}" name="Fin S. Mol" dataDxfId="6" dataCellStyle="Millares">
      <calculatedColumnFormula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calculatedColumnFormula>
    </tableColumn>
    <tableColumn id="38" xr3:uid="{00000000-0010-0000-0000-000026000000}" name="$/KG" dataDxfId="5" dataCellStyle="Millares">
      <calculatedColumnFormula>IF(Tabla1[[#This Row],[KG CARGA]]&lt;&gt;"",(SUM(Tabla1[[#This Row],[Flete]:[Fin semana10]])/Tabulador!$M$1)/Tabla1[[#This Row],[KG CARGA]],"")</calculatedColumnFormula>
    </tableColumn>
    <tableColumn id="40" xr3:uid="{00000000-0010-0000-0000-000028000000}" name="Tasa" dataDxfId="4" dataCellStyle="Millares">
      <calculatedColumnFormula>IF(Tabla1[[#This Row],[$/KG]]&lt;&gt;"",Tabulador!$M$1,"")</calculatedColumnFormula>
    </tableColumn>
    <tableColumn id="50" xr3:uid="{00000000-0010-0000-0000-000032000000}" name="% PASTA" dataDxfId="3" dataCellStyle="Porcentaje">
      <calculatedColumnFormula>IF(Tabla1[[#This Row],[KGS PASTA]]&gt;0,Tabla1[[#This Row],[KG PASTA]]/Tabla1[[#This Row],[KGS PASTA]],0)</calculatedColumnFormula>
    </tableColumn>
    <tableColumn id="51" xr3:uid="{00000000-0010-0000-0000-000033000000}" name="% HARINA" dataDxfId="2" dataCellStyle="Porcentaje">
      <calculatedColumnFormula>IF(Tabla1[[#This Row],[KGS PASTA]]&gt;0,Tabla1[[#This Row],[KG HARINA]]/Tabla1[[#This Row],[KGS PASTA]],0)</calculatedColumnFormula>
    </tableColumn>
    <tableColumn id="52" xr3:uid="{00000000-0010-0000-0000-000034000000}" name="KG PASTA" dataDxfId="1" dataCellStyle="Millares"/>
    <tableColumn id="53" xr3:uid="{00000000-0010-0000-0000-000035000000}" name="KG HARINA" dataDxfId="0" dataCellStyle="Millares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A150"/>
  <sheetViews>
    <sheetView showGridLines="0" zoomScale="60" zoomScaleNormal="60" workbookViewId="0">
      <selection activeCell="AH10" activeCellId="2" sqref="AA10 AO10 AH10"/>
    </sheetView>
  </sheetViews>
  <sheetFormatPr baseColWidth="10" defaultRowHeight="12.75"/>
  <cols>
    <col min="1" max="1" width="10.5703125" style="9" customWidth="1"/>
    <col min="2" max="3" width="11.28515625" style="9" customWidth="1"/>
    <col min="4" max="4" width="25.5703125" style="10" customWidth="1"/>
    <col min="5" max="5" width="16" style="11" customWidth="1"/>
    <col min="6" max="6" width="16.7109375" style="9" customWidth="1"/>
    <col min="7" max="7" width="13" style="12" customWidth="1"/>
    <col min="8" max="8" width="16.42578125" style="8" customWidth="1"/>
    <col min="9" max="9" width="12.28515625" style="47" customWidth="1"/>
    <col min="10" max="11" width="12" style="47" customWidth="1"/>
    <col min="12" max="12" width="14.140625" style="8" customWidth="1"/>
    <col min="13" max="13" width="14.85546875" style="33" customWidth="1"/>
    <col min="14" max="14" width="12.140625" style="9" customWidth="1"/>
    <col min="15" max="15" width="16.7109375" style="9" customWidth="1"/>
    <col min="16" max="16" width="15.28515625" style="9" customWidth="1"/>
    <col min="17" max="17" width="9.85546875" style="9" customWidth="1"/>
    <col min="18" max="18" width="16.7109375" style="9" customWidth="1"/>
    <col min="19" max="19" width="14" style="9" customWidth="1"/>
    <col min="20" max="20" width="3.7109375" style="9" customWidth="1"/>
    <col min="21" max="22" width="3.7109375" style="28" customWidth="1"/>
    <col min="23" max="23" width="4.85546875" style="28" customWidth="1"/>
    <col min="24" max="24" width="3.7109375" style="28" customWidth="1"/>
    <col min="25" max="25" width="5.140625" style="28" customWidth="1"/>
    <col min="26" max="26" width="11.140625" style="66" customWidth="1"/>
    <col min="27" max="27" width="15.42578125" style="9" customWidth="1"/>
    <col min="28" max="28" width="13.85546875" style="9" customWidth="1"/>
    <col min="29" max="29" width="14.5703125" style="9" customWidth="1"/>
    <col min="30" max="30" width="15.140625" style="9" customWidth="1"/>
    <col min="31" max="31" width="12.5703125" style="9" customWidth="1"/>
    <col min="32" max="32" width="15.7109375" style="9" customWidth="1"/>
    <col min="33" max="33" width="13" style="9" customWidth="1"/>
    <col min="34" max="34" width="15.85546875" style="9" customWidth="1"/>
    <col min="35" max="35" width="17.7109375" style="9" bestFit="1" customWidth="1"/>
    <col min="36" max="36" width="17" style="9" customWidth="1"/>
    <col min="37" max="37" width="15.28515625" style="9" customWidth="1"/>
    <col min="38" max="38" width="13.85546875" style="9" customWidth="1"/>
    <col min="39" max="39" width="16.140625" style="9" customWidth="1"/>
    <col min="40" max="40" width="12.5703125" style="9" customWidth="1"/>
    <col min="41" max="41" width="16.140625" style="9" customWidth="1"/>
    <col min="42" max="47" width="12.5703125" style="9" customWidth="1"/>
    <col min="48" max="48" width="9.85546875" style="9" customWidth="1"/>
    <col min="49" max="51" width="11.42578125" style="9"/>
    <col min="52" max="52" width="14.7109375" style="9" customWidth="1"/>
    <col min="53" max="16384" width="11.42578125" style="9"/>
  </cols>
  <sheetData>
    <row r="1" spans="1:53" ht="23.25" customHeight="1">
      <c r="A1" s="7" t="s">
        <v>25</v>
      </c>
      <c r="B1" s="453">
        <v>45628</v>
      </c>
      <c r="C1" s="453"/>
      <c r="D1" s="453"/>
      <c r="E1" s="453"/>
      <c r="F1" s="453"/>
      <c r="G1" s="453"/>
      <c r="H1" s="453"/>
      <c r="I1" s="451" t="s">
        <v>379</v>
      </c>
      <c r="J1" s="451"/>
      <c r="K1" s="451"/>
      <c r="L1" s="451"/>
      <c r="M1" s="451"/>
      <c r="N1" s="451"/>
      <c r="O1" s="451"/>
      <c r="P1" s="451"/>
      <c r="Q1" s="451"/>
      <c r="R1" s="451"/>
      <c r="S1" s="451"/>
      <c r="AA1" s="9">
        <v>24</v>
      </c>
      <c r="AB1" s="13">
        <f>S4*5%</f>
        <v>15.3</v>
      </c>
      <c r="AC1" s="13">
        <f>15*AW4</f>
        <v>15</v>
      </c>
    </row>
    <row r="2" spans="1:53" ht="43.5" customHeight="1">
      <c r="A2" s="7" t="s">
        <v>26</v>
      </c>
      <c r="B2" s="453">
        <v>45632</v>
      </c>
      <c r="C2" s="453"/>
      <c r="D2" s="453"/>
      <c r="E2" s="453"/>
      <c r="F2" s="453"/>
      <c r="G2" s="453"/>
      <c r="H2" s="453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142" t="s">
        <v>164</v>
      </c>
      <c r="U2" s="143" t="s">
        <v>165</v>
      </c>
      <c r="V2" s="143" t="s">
        <v>166</v>
      </c>
      <c r="W2" s="143" t="s">
        <v>167</v>
      </c>
      <c r="X2" s="143" t="s">
        <v>131</v>
      </c>
      <c r="Y2" s="144"/>
      <c r="AA2" s="449" t="s">
        <v>4</v>
      </c>
      <c r="AB2" s="449"/>
      <c r="AC2" s="449"/>
      <c r="AD2" s="449"/>
      <c r="AE2" s="449"/>
      <c r="AF2" s="449"/>
      <c r="AG2" s="449"/>
      <c r="AH2" s="450" t="s">
        <v>132</v>
      </c>
      <c r="AI2" s="450"/>
      <c r="AJ2" s="450"/>
      <c r="AK2" s="450"/>
      <c r="AL2" s="450"/>
      <c r="AM2" s="450"/>
      <c r="AN2" s="450"/>
      <c r="AO2" s="448" t="s">
        <v>386</v>
      </c>
      <c r="AP2" s="448"/>
      <c r="AQ2" s="448"/>
      <c r="AR2" s="448"/>
      <c r="AS2" s="448"/>
      <c r="AT2" s="448"/>
      <c r="AU2" s="448"/>
    </row>
    <row r="3" spans="1:53" ht="51" customHeight="1">
      <c r="A3" s="116" t="s">
        <v>5</v>
      </c>
      <c r="B3" s="117" t="s">
        <v>155</v>
      </c>
      <c r="C3" s="117" t="s">
        <v>384</v>
      </c>
      <c r="D3" s="118" t="s">
        <v>6</v>
      </c>
      <c r="E3" s="119" t="s">
        <v>7</v>
      </c>
      <c r="F3" s="117" t="s">
        <v>8</v>
      </c>
      <c r="G3" s="120" t="s">
        <v>9</v>
      </c>
      <c r="H3" s="121" t="s">
        <v>10</v>
      </c>
      <c r="I3" s="122" t="s">
        <v>11</v>
      </c>
      <c r="J3" s="122" t="s">
        <v>12</v>
      </c>
      <c r="K3" s="122" t="s">
        <v>385</v>
      </c>
      <c r="L3" s="121" t="s">
        <v>13</v>
      </c>
      <c r="M3" s="122" t="s">
        <v>248</v>
      </c>
      <c r="N3" s="117" t="s">
        <v>38</v>
      </c>
      <c r="O3" s="117" t="s">
        <v>247</v>
      </c>
      <c r="P3" s="117" t="s">
        <v>125</v>
      </c>
      <c r="Q3" s="117" t="s">
        <v>130</v>
      </c>
      <c r="R3" s="117" t="s">
        <v>28</v>
      </c>
      <c r="S3" s="123" t="s">
        <v>14</v>
      </c>
      <c r="T3" s="124" t="s">
        <v>33</v>
      </c>
      <c r="U3" s="124" t="s">
        <v>31</v>
      </c>
      <c r="V3" s="124" t="s">
        <v>39</v>
      </c>
      <c r="W3" s="124" t="s">
        <v>32</v>
      </c>
      <c r="X3" s="124" t="s">
        <v>153</v>
      </c>
      <c r="Y3" s="124" t="s">
        <v>180</v>
      </c>
      <c r="Z3" s="124" t="s">
        <v>328</v>
      </c>
      <c r="AA3" s="407" t="s">
        <v>133</v>
      </c>
      <c r="AB3" s="407" t="s">
        <v>381</v>
      </c>
      <c r="AC3" s="407" t="s">
        <v>134</v>
      </c>
      <c r="AD3" s="407" t="s">
        <v>135</v>
      </c>
      <c r="AE3" s="407" t="s">
        <v>156</v>
      </c>
      <c r="AF3" s="407" t="s">
        <v>136</v>
      </c>
      <c r="AG3" s="407" t="s">
        <v>137</v>
      </c>
      <c r="AH3" s="408" t="s">
        <v>157</v>
      </c>
      <c r="AI3" s="408" t="s">
        <v>382</v>
      </c>
      <c r="AJ3" s="408" t="s">
        <v>158</v>
      </c>
      <c r="AK3" s="408" t="s">
        <v>159</v>
      </c>
      <c r="AL3" s="408" t="s">
        <v>160</v>
      </c>
      <c r="AM3" s="408" t="s">
        <v>161</v>
      </c>
      <c r="AN3" s="409" t="s">
        <v>162</v>
      </c>
      <c r="AO3" s="410" t="s">
        <v>387</v>
      </c>
      <c r="AP3" s="410" t="s">
        <v>388</v>
      </c>
      <c r="AQ3" s="410" t="s">
        <v>389</v>
      </c>
      <c r="AR3" s="410" t="s">
        <v>390</v>
      </c>
      <c r="AS3" s="410" t="s">
        <v>392</v>
      </c>
      <c r="AT3" s="410" t="s">
        <v>393</v>
      </c>
      <c r="AU3" s="410" t="s">
        <v>391</v>
      </c>
      <c r="AV3" s="125" t="s">
        <v>326</v>
      </c>
      <c r="AW3" s="125" t="s">
        <v>327</v>
      </c>
      <c r="AX3" s="125" t="s">
        <v>394</v>
      </c>
      <c r="AY3" s="125" t="s">
        <v>395</v>
      </c>
      <c r="AZ3" s="403" t="s">
        <v>213</v>
      </c>
      <c r="BA3" s="403" t="s">
        <v>401</v>
      </c>
    </row>
    <row r="4" spans="1:53" ht="18" customHeight="1">
      <c r="A4" s="265">
        <v>51022</v>
      </c>
      <c r="B4" s="266">
        <v>51023</v>
      </c>
      <c r="C4" s="266"/>
      <c r="D4" s="267" t="s">
        <v>406</v>
      </c>
      <c r="E4" s="273" t="s">
        <v>63</v>
      </c>
      <c r="F4" s="269" t="s">
        <v>402</v>
      </c>
      <c r="G4" s="270">
        <v>45629</v>
      </c>
      <c r="H4" s="271">
        <v>10830</v>
      </c>
      <c r="I4" s="272">
        <v>327</v>
      </c>
      <c r="J4" s="272">
        <v>792.97199999999998</v>
      </c>
      <c r="K4" s="272"/>
      <c r="L4" s="271">
        <v>11622.972</v>
      </c>
      <c r="M4" s="274">
        <v>10830</v>
      </c>
      <c r="N4" s="369"/>
      <c r="O4" s="369">
        <v>11711.843999999999</v>
      </c>
      <c r="P4" s="278">
        <v>12000</v>
      </c>
      <c r="Q4" s="275">
        <f t="shared" ref="Q4:Q45" si="0">IF(P4&lt;&gt;"",IF(P4=1200,18,IF(P4=1500,47,IF(P4=2500,10,IF(P4=3500,11,IF(P4=5000,12,IF(P4=6000,13,IF(P4=7500,14,IF(P4=10000,15,IF(P4=12000,45,IF(P4=15000,46,16)))))))))),"")</f>
        <v>45</v>
      </c>
      <c r="R4" s="277" t="s">
        <v>412</v>
      </c>
      <c r="S4" s="20">
        <f>IF(OR(A4&lt;&gt;"",B4&lt;&gt;""),IF(E4&lt;&gt;"",VLOOKUP(E4,Tabulador!$A:$AU,Q4,FALSE),""),"")</f>
        <v>306</v>
      </c>
      <c r="T4" s="276">
        <v>2</v>
      </c>
      <c r="U4" s="276"/>
      <c r="V4" s="276">
        <v>1</v>
      </c>
      <c r="W4" s="276">
        <v>1</v>
      </c>
      <c r="X4" s="276"/>
      <c r="Y4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>P/N</v>
      </c>
      <c r="Z4" s="284">
        <f>IF(Tabla1[[#This Row],[Cap.]]&lt;&gt;"",Tabla1[[#This Row],[BASE DE FLETE]]/Tabla1[[#This Row],[Cap.]],"")</f>
        <v>2.5499999999999998E-2</v>
      </c>
      <c r="AA4" s="21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>276.16499999999996</v>
      </c>
      <c r="AB4" s="127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>27.741148191523045</v>
      </c>
      <c r="AC4" s="126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>55.232999999999997</v>
      </c>
      <c r="AD4" s="126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>55.232999999999997</v>
      </c>
      <c r="AE4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4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4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4" s="21">
        <f>IF(S4&lt;&gt;"",IF(Tabla1[[#This Row],[EM]]="P/N",S4-(AA4+AO4),IF(Tabla1[[#This Row],[EM]]="N",S4,"")),"")</f>
        <v>29.835000000000036</v>
      </c>
      <c r="AI4" s="21">
        <f>IF(T4&lt;&gt;"",IF(Tabla1[[#This Row],[EM]]="P/N",VLOOKUP(Tabla1[[#This Row],[Cap.]],Tabulador!$B$3:$L$13,7,FALSE)*Tabla1[[#This Row],[C]]-(AB4+AP4),IF(Tabla1[[#This Row],[EM]]="N",VLOOKUP(Tabla1[[#This Row],[Cap.]],Tabulador!$B$3:$L$13,7,FALSE)*Tabla1[[#This Row],[C]],"")),"")</f>
        <v>2.2588518084769547</v>
      </c>
      <c r="AJ4" s="21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>5.9670000000000059</v>
      </c>
      <c r="AK4" s="21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>5.9670000000000059</v>
      </c>
      <c r="AL4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4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4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4" s="370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>0</v>
      </c>
      <c r="AP4" s="370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>0</v>
      </c>
      <c r="AQ4" s="370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>0</v>
      </c>
      <c r="AR4" s="370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>0</v>
      </c>
      <c r="AS4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4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4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4" s="332">
        <f>IF(Tabla1[[#This Row],[KG CARGA]]&lt;&gt;"",(SUM(Tabla1[[#This Row],[Flete]:[Fin semana10]])/Tabulador!$M$1)/Tabla1[[#This Row],[KG CARGA]],"")</f>
        <v>3.9139865592472033E-2</v>
      </c>
      <c r="AW4" s="21">
        <f>IF(Tabla1[[#This Row],[$/KG]]&lt;&gt;"",Tabulador!$M$1,"")</f>
        <v>1</v>
      </c>
      <c r="AX4" s="371">
        <f>IF(Tabla1[[#This Row],[KGS PASTA]]&gt;0,Tabla1[[#This Row],[KG PASTA]]/Tabla1[[#This Row],[KGS PASTA]],0)</f>
        <v>1</v>
      </c>
      <c r="AY4" s="371">
        <f>IF(Tabla1[[#This Row],[KGS PASTA]]&gt;0,Tabla1[[#This Row],[KG HARINA]]/Tabla1[[#This Row],[KGS PASTA]],0)</f>
        <v>0</v>
      </c>
      <c r="AZ4" s="402">
        <v>10830</v>
      </c>
      <c r="BA4" s="402">
        <v>0</v>
      </c>
    </row>
    <row r="5" spans="1:53" ht="18" customHeight="1">
      <c r="A5" s="265"/>
      <c r="B5" s="266"/>
      <c r="C5" s="266"/>
      <c r="D5" s="267" t="s">
        <v>407</v>
      </c>
      <c r="E5" s="273" t="s">
        <v>274</v>
      </c>
      <c r="F5" s="269" t="s">
        <v>402</v>
      </c>
      <c r="G5" s="270">
        <v>45629</v>
      </c>
      <c r="H5" s="271"/>
      <c r="I5" s="272">
        <v>34</v>
      </c>
      <c r="J5" s="272">
        <v>88.872</v>
      </c>
      <c r="K5" s="272"/>
      <c r="L5" s="272">
        <v>88.872</v>
      </c>
      <c r="M5" s="274"/>
      <c r="N5" s="369"/>
      <c r="O5" s="369"/>
      <c r="P5" s="278"/>
      <c r="Q5" s="275" t="str">
        <f t="shared" ref="Q5:Q35" si="1">IF(P5&lt;&gt;"",IF(P5=1200,18,IF(P5=1500,47,IF(P5=2500,10,IF(P5=3500,11,IF(P5=5000,12,IF(P5=6000,13,IF(P5=7500,14,IF(P5=10000,15,IF(P5=12000,45,IF(P5=15000,46,16)))))))))),"")</f>
        <v/>
      </c>
      <c r="R5" s="277"/>
      <c r="S5" s="20" t="str">
        <f>IF(OR(A5&lt;&gt;"",B5&lt;&gt;""),IF(E5&lt;&gt;"",VLOOKUP(E5,Tabulador!$A:$AU,Q5,FALSE),""),"")</f>
        <v/>
      </c>
      <c r="T5" s="276"/>
      <c r="U5" s="276"/>
      <c r="V5" s="276"/>
      <c r="W5" s="276"/>
      <c r="X5" s="276"/>
      <c r="Y5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5" s="284" t="str">
        <f>IF(Tabla1[[#This Row],[Cap.]]&lt;&gt;"",Tabla1[[#This Row],[BASE DE FLETE]]/Tabla1[[#This Row],[Cap.]],"")</f>
        <v/>
      </c>
      <c r="AA5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5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5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5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5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5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5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5" s="21" t="str">
        <f>IF(S5&lt;&gt;"",IF(Tabla1[[#This Row],[EM]]="P/N",S5-(AA5+AO5),IF(Tabla1[[#This Row],[EM]]="N",S5,"")),"")</f>
        <v/>
      </c>
      <c r="AI5" s="21" t="str">
        <f>IF(T5&lt;&gt;"",IF(Tabla1[[#This Row],[EM]]="P/N",VLOOKUP(Tabla1[[#This Row],[Cap.]],Tabulador!$B$3:$L$13,7,FALSE)*Tabla1[[#This Row],[C]]-(AB5+AP5),IF(Tabla1[[#This Row],[EM]]="N",VLOOKUP(Tabla1[[#This Row],[Cap.]],Tabulador!$B$3:$L$13,7,FALSE)*Tabla1[[#This Row],[C]],"")),"")</f>
        <v/>
      </c>
      <c r="AJ5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5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5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5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5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5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5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5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5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5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5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5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5" s="332" t="str">
        <f>IF(Tabla1[[#This Row],[KG CARGA]]&lt;&gt;"",(SUM(Tabla1[[#This Row],[Flete]:[Fin semana10]])/Tabulador!$M$1)/Tabla1[[#This Row],[KG CARGA]],"")</f>
        <v/>
      </c>
      <c r="AW5" s="21" t="str">
        <f>IF(Tabla1[[#This Row],[$/KG]]&lt;&gt;"",Tabulador!$M$1,"")</f>
        <v/>
      </c>
      <c r="AX5" s="371">
        <f>IF(Tabla1[[#This Row],[KGS PASTA]]&gt;0,Tabla1[[#This Row],[KG PASTA]]/Tabla1[[#This Row],[KGS PASTA]],0)</f>
        <v>0</v>
      </c>
      <c r="AY5" s="371">
        <f>IF(Tabla1[[#This Row],[KGS PASTA]]&gt;0,Tabla1[[#This Row],[KG HARINA]]/Tabla1[[#This Row],[KGS PASTA]],0)</f>
        <v>0</v>
      </c>
      <c r="AZ5" s="402"/>
      <c r="BA5" s="402"/>
    </row>
    <row r="6" spans="1:53" ht="18" customHeight="1">
      <c r="A6" s="265">
        <v>51033</v>
      </c>
      <c r="B6" s="266">
        <v>51034</v>
      </c>
      <c r="C6" s="266"/>
      <c r="D6" s="267" t="s">
        <v>408</v>
      </c>
      <c r="E6" s="273" t="s">
        <v>50</v>
      </c>
      <c r="F6" s="269" t="s">
        <v>404</v>
      </c>
      <c r="G6" s="270">
        <v>45629</v>
      </c>
      <c r="H6" s="271">
        <v>1770</v>
      </c>
      <c r="I6" s="272">
        <v>217</v>
      </c>
      <c r="J6" s="272">
        <v>492.72000000000014</v>
      </c>
      <c r="K6" s="272"/>
      <c r="L6" s="271">
        <v>2262.7200000000003</v>
      </c>
      <c r="M6" s="274">
        <v>1770</v>
      </c>
      <c r="N6" s="369"/>
      <c r="O6" s="369">
        <v>2262.7200000000003</v>
      </c>
      <c r="P6" s="278">
        <v>2500</v>
      </c>
      <c r="Q6" s="275">
        <f t="shared" si="1"/>
        <v>10</v>
      </c>
      <c r="R6" s="277" t="s">
        <v>413</v>
      </c>
      <c r="S6" s="20">
        <f>IF(OR(A6&lt;&gt;"",B6&lt;&gt;""),IF(E6&lt;&gt;"",VLOOKUP(E6,Tabulador!$A:$AU,Q6,FALSE),""),"")</f>
        <v>84</v>
      </c>
      <c r="T6" s="276">
        <v>2</v>
      </c>
      <c r="U6" s="276"/>
      <c r="V6" s="276"/>
      <c r="W6" s="276"/>
      <c r="X6" s="276"/>
      <c r="Y6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>P/N</v>
      </c>
      <c r="Z6" s="284">
        <f>IF(Tabla1[[#This Row],[Cap.]]&lt;&gt;"",Tabla1[[#This Row],[BASE DE FLETE]]/Tabla1[[#This Row],[Cap.]],"")</f>
        <v>3.3599999999999998E-2</v>
      </c>
      <c r="AA6" s="21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>59.471999999999994</v>
      </c>
      <c r="AB6" s="127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>15.64488756894357</v>
      </c>
      <c r="AC6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6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6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6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6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Row],[Cap.]],Tabulador!$B$3:$L$13,11,FALSE)/P6*Tabla1[[#This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6" s="21">
        <f>IF(S6&lt;&gt;"",IF(Tabla1[[#This Row],[EM]]="P/N",S6-(AA6+AO6),IF(Tabla1[[#This Row],[EM]]="N",S6,"")),"")</f>
        <v>24.528000000000006</v>
      </c>
      <c r="AI6" s="21">
        <f>IF(T6&lt;&gt;"",IF(Tabla1[[#This Row],[EM]]="P/N",VLOOKUP(Tabla1[[#This Row],[Cap.]],Tabulador!$B$3:$L$13,7,FALSE)*Tabla1[[#This Row],[C]]-(AB6+AP6),IF(Tabla1[[#This Row],[EM]]="N",VLOOKUP(Tabla1[[#This Row],[Cap.]],Tabulador!$B$3:$L$13,7,FALSE)*Tabla1[[#This Row],[C]],"")),"")</f>
        <v>4.3551124310564298</v>
      </c>
      <c r="AJ6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6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6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6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6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6" s="370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>0</v>
      </c>
      <c r="AP6" s="370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>0</v>
      </c>
      <c r="AQ6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6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6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6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6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Row],[Cap.]],Tabulador!$B$3:$L$13,11,FALSE)/P6*Tabla1[[#This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6" s="332">
        <f>IF(Tabla1[[#This Row],[KG CARGA]]&lt;&gt;"",(SUM(Tabla1[[#This Row],[Flete]:[Fin semana10]])/Tabulador!$M$1)/Tabla1[[#This Row],[KG CARGA]],"")</f>
        <v>4.5962381558478288E-2</v>
      </c>
      <c r="AW6" s="21">
        <f>IF(Tabla1[[#This Row],[$/KG]]&lt;&gt;"",Tabulador!$M$1,"")</f>
        <v>1</v>
      </c>
      <c r="AX6" s="371">
        <f>IF(Tabla1[[#This Row],[KGS PASTA]]&gt;0,Tabla1[[#This Row],[KG PASTA]]/Tabla1[[#This Row],[KGS PASTA]],0)</f>
        <v>1</v>
      </c>
      <c r="AY6" s="371">
        <f>IF(Tabla1[[#This Row],[KGS PASTA]]&gt;0,Tabla1[[#This Row],[KG HARINA]]/Tabla1[[#This Row],[KGS PASTA]],0)</f>
        <v>0</v>
      </c>
      <c r="AZ6" s="402">
        <v>1770</v>
      </c>
      <c r="BA6" s="402">
        <v>0</v>
      </c>
    </row>
    <row r="7" spans="1:53" ht="18" customHeight="1">
      <c r="A7" s="265">
        <v>51048</v>
      </c>
      <c r="B7" s="266">
        <v>51049</v>
      </c>
      <c r="C7" s="266"/>
      <c r="D7" s="267" t="s">
        <v>409</v>
      </c>
      <c r="E7" s="273" t="s">
        <v>360</v>
      </c>
      <c r="F7" s="269" t="s">
        <v>402</v>
      </c>
      <c r="G7" s="270">
        <v>45630</v>
      </c>
      <c r="H7" s="271">
        <v>969</v>
      </c>
      <c r="I7" s="272">
        <v>4</v>
      </c>
      <c r="J7" s="272">
        <v>8.8800000000000008</v>
      </c>
      <c r="K7" s="272"/>
      <c r="L7" s="271">
        <v>977.88</v>
      </c>
      <c r="M7" s="274">
        <v>1722</v>
      </c>
      <c r="N7" s="369"/>
      <c r="O7" s="369">
        <v>1734.96</v>
      </c>
      <c r="P7" s="278">
        <v>2500</v>
      </c>
      <c r="Q7" s="275">
        <f t="shared" si="1"/>
        <v>10</v>
      </c>
      <c r="R7" s="277" t="s">
        <v>413</v>
      </c>
      <c r="S7" s="20">
        <f>IF(OR(A7&lt;&gt;"",B7&lt;&gt;""),IF(E7&lt;&gt;"",VLOOKUP(E7,Tabulador!$A:$AU,Q7,FALSE),""),"")</f>
        <v>100</v>
      </c>
      <c r="T7" s="276">
        <v>2</v>
      </c>
      <c r="U7" s="276"/>
      <c r="V7" s="276"/>
      <c r="W7" s="276">
        <v>1</v>
      </c>
      <c r="X7" s="276"/>
      <c r="Y7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>P/N</v>
      </c>
      <c r="Z7" s="284">
        <f>IF(Tabla1[[#This Row],[Cap.]]&lt;&gt;"",Tabla1[[#This Row],[BASE DE FLETE]]/Tabla1[[#This Row],[Cap.]],"")</f>
        <v>0.04</v>
      </c>
      <c r="AA7" s="21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>68.88</v>
      </c>
      <c r="AB7" s="127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>19.850601742979666</v>
      </c>
      <c r="AC7" s="126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>5.9551805228938992</v>
      </c>
      <c r="AD7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7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7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7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Row],[Cap.]],Tabulador!$B$3:$L$13,11,FALSE)/P7*Tabla1[[#This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7" s="21">
        <f>IF(S7&lt;&gt;"",IF(Tabla1[[#This Row],[EM]]="P/N",S7-(AA7+AO7),IF(Tabla1[[#This Row],[EM]]="N",S7,"")),"")</f>
        <v>31.120000000000005</v>
      </c>
      <c r="AI7" s="21">
        <f>IF(T7&lt;&gt;"",IF(Tabla1[[#This Row],[EM]]="P/N",VLOOKUP(Tabla1[[#This Row],[Cap.]],Tabulador!$B$3:$L$13,7,FALSE)*Tabla1[[#This Row],[C]]-(AB7+AP7),IF(Tabla1[[#This Row],[EM]]="N",VLOOKUP(Tabla1[[#This Row],[Cap.]],Tabulador!$B$3:$L$13,7,FALSE)*Tabla1[[#This Row],[C]],"")),"")</f>
        <v>0.1493982570203336</v>
      </c>
      <c r="AJ7" s="21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>4.4819477106100791E-2</v>
      </c>
      <c r="AK7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7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7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7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7" s="370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>0</v>
      </c>
      <c r="AP7" s="370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>0</v>
      </c>
      <c r="AQ7" s="370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>0</v>
      </c>
      <c r="AR7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7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7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7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Row],[Cap.]],Tabulador!$B$3:$L$13,11,FALSE)/P7*Tabla1[[#This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7" s="332">
        <f>IF(Tabla1[[#This Row],[KG CARGA]]&lt;&gt;"",(SUM(Tabla1[[#This Row],[Flete]:[Fin semana10]])/Tabulador!$M$1)/Tabla1[[#This Row],[KG CARGA]],"")</f>
        <v>7.2624152718218288E-2</v>
      </c>
      <c r="AW7" s="21">
        <f>IF(Tabla1[[#This Row],[$/KG]]&lt;&gt;"",Tabulador!$M$1,"")</f>
        <v>1</v>
      </c>
      <c r="AX7" s="371">
        <f>IF(Tabla1[[#This Row],[KGS PASTA]]&gt;0,Tabla1[[#This Row],[KG PASTA]]/Tabla1[[#This Row],[KGS PASTA]],0)</f>
        <v>1</v>
      </c>
      <c r="AY7" s="371">
        <f>IF(Tabla1[[#This Row],[KGS PASTA]]&gt;0,Tabla1[[#This Row],[KG HARINA]]/Tabla1[[#This Row],[KGS PASTA]],0)</f>
        <v>0</v>
      </c>
      <c r="AZ7" s="402">
        <v>1722</v>
      </c>
      <c r="BA7" s="402">
        <v>0</v>
      </c>
    </row>
    <row r="8" spans="1:53" ht="18" customHeight="1">
      <c r="A8" s="265"/>
      <c r="B8" s="266"/>
      <c r="C8" s="266"/>
      <c r="D8" s="267" t="s">
        <v>410</v>
      </c>
      <c r="E8" s="273" t="s">
        <v>360</v>
      </c>
      <c r="F8" s="269" t="s">
        <v>402</v>
      </c>
      <c r="G8" s="270">
        <v>45630</v>
      </c>
      <c r="H8" s="271">
        <v>753</v>
      </c>
      <c r="I8" s="272">
        <v>2</v>
      </c>
      <c r="J8" s="272">
        <v>4.08</v>
      </c>
      <c r="K8" s="272"/>
      <c r="L8" s="271">
        <v>757.08</v>
      </c>
      <c r="M8" s="274"/>
      <c r="N8" s="369"/>
      <c r="O8" s="369"/>
      <c r="P8" s="278"/>
      <c r="Q8" s="275" t="str">
        <f t="shared" si="1"/>
        <v/>
      </c>
      <c r="R8" s="277"/>
      <c r="S8" s="20" t="str">
        <f>IF(OR(A8&lt;&gt;"",B8&lt;&gt;""),IF(E8&lt;&gt;"",VLOOKUP(E8,Tabulador!$A:$AU,Q8,FALSE),""),"")</f>
        <v/>
      </c>
      <c r="T8" s="276"/>
      <c r="U8" s="276"/>
      <c r="V8" s="276"/>
      <c r="W8" s="276"/>
      <c r="X8" s="276"/>
      <c r="Y8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8" s="284" t="str">
        <f>IF(Tabla1[[#This Row],[Cap.]]&lt;&gt;"",Tabla1[[#This Row],[BASE DE FLETE]]/Tabla1[[#This Row],[Cap.]],"")</f>
        <v/>
      </c>
      <c r="AA8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8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8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8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8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8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8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Row],[Cap.]],Tabulador!$B$3:$L$13,11,FALSE)/P8*Tabla1[[#This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8" s="21" t="str">
        <f>IF(S8&lt;&gt;"",IF(Tabla1[[#This Row],[EM]]="P/N",S8-(AA8+AO8),IF(Tabla1[[#This Row],[EM]]="N",S8,"")),"")</f>
        <v/>
      </c>
      <c r="AI8" s="21" t="str">
        <f>IF(T8&lt;&gt;"",IF(Tabla1[[#This Row],[EM]]="P/N",VLOOKUP(Tabla1[[#This Row],[Cap.]],Tabulador!$B$3:$L$13,7,FALSE)*Tabla1[[#This Row],[C]]-(AB8+AP8),IF(Tabla1[[#This Row],[EM]]="N",VLOOKUP(Tabla1[[#This Row],[Cap.]],Tabulador!$B$3:$L$13,7,FALSE)*Tabla1[[#This Row],[C]],"")),"")</f>
        <v/>
      </c>
      <c r="AJ8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8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8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8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8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8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8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8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8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8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8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8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Row],[Cap.]],Tabulador!$B$3:$L$13,11,FALSE)/P8*Tabla1[[#This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8" s="332" t="str">
        <f>IF(Tabla1[[#This Row],[KG CARGA]]&lt;&gt;"",(SUM(Tabla1[[#This Row],[Flete]:[Fin semana10]])/Tabulador!$M$1)/Tabla1[[#This Row],[KG CARGA]],"")</f>
        <v/>
      </c>
      <c r="AW8" s="21" t="str">
        <f>IF(Tabla1[[#This Row],[$/KG]]&lt;&gt;"",Tabulador!$M$1,"")</f>
        <v/>
      </c>
      <c r="AX8" s="371">
        <f>IF(Tabla1[[#This Row],[KGS PASTA]]&gt;0,Tabla1[[#This Row],[KG PASTA]]/Tabla1[[#This Row],[KGS PASTA]],0)</f>
        <v>0</v>
      </c>
      <c r="AY8" s="371">
        <f>IF(Tabla1[[#This Row],[KGS PASTA]]&gt;0,Tabla1[[#This Row],[KG HARINA]]/Tabla1[[#This Row],[KGS PASTA]],0)</f>
        <v>0</v>
      </c>
      <c r="AZ8" s="402"/>
      <c r="BA8" s="402"/>
    </row>
    <row r="9" spans="1:53" ht="18" customHeight="1">
      <c r="A9" s="265">
        <v>51052</v>
      </c>
      <c r="B9" s="266">
        <v>51053</v>
      </c>
      <c r="C9" s="266"/>
      <c r="D9" s="267" t="s">
        <v>411</v>
      </c>
      <c r="E9" s="273" t="s">
        <v>333</v>
      </c>
      <c r="F9" s="269" t="s">
        <v>403</v>
      </c>
      <c r="G9" s="270">
        <v>45630</v>
      </c>
      <c r="H9" s="271">
        <v>9180</v>
      </c>
      <c r="I9" s="272">
        <v>216</v>
      </c>
      <c r="J9" s="272">
        <v>419.88</v>
      </c>
      <c r="K9" s="272"/>
      <c r="L9" s="271">
        <v>9599.8799999999992</v>
      </c>
      <c r="M9" s="274">
        <v>9180</v>
      </c>
      <c r="N9" s="369"/>
      <c r="O9" s="369">
        <v>9599.8799999999992</v>
      </c>
      <c r="P9" s="278">
        <v>10000</v>
      </c>
      <c r="Q9" s="275">
        <f t="shared" si="1"/>
        <v>15</v>
      </c>
      <c r="R9" s="277" t="s">
        <v>414</v>
      </c>
      <c r="S9" s="20">
        <f>IF(OR(A9&lt;&gt;"",B9&lt;&gt;""),IF(E9&lt;&gt;"",VLOOKUP(E9,Tabulador!$A:$AU,Q9,FALSE),""),"")</f>
        <v>291</v>
      </c>
      <c r="T9" s="276">
        <v>2</v>
      </c>
      <c r="U9" s="276"/>
      <c r="V9" s="276"/>
      <c r="W9" s="276"/>
      <c r="X9" s="276"/>
      <c r="Y9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>P/N</v>
      </c>
      <c r="Z9" s="284">
        <f>IF(Tabla1[[#This Row],[Cap.]]&lt;&gt;"",Tabla1[[#This Row],[BASE DE FLETE]]/Tabla1[[#This Row],[Cap.]],"")</f>
        <v>2.9100000000000001E-2</v>
      </c>
      <c r="AA9" s="21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>267.13800000000003</v>
      </c>
      <c r="AB9" s="127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>28.687858598232481</v>
      </c>
      <c r="AC9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9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9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9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9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Row],[Cap.]],Tabulador!$B$3:$L$13,11,FALSE)/P9*Tabla1[[#This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9" s="21">
        <f>IF(S9&lt;&gt;"",IF(Tabla1[[#This Row],[EM]]="P/N",S9-(AA9+AO9),IF(Tabla1[[#This Row],[EM]]="N",S9,"")),"")</f>
        <v>23.861999999999966</v>
      </c>
      <c r="AI9" s="21">
        <f>IF(T9&lt;&gt;"",IF(Tabla1[[#This Row],[EM]]="P/N",VLOOKUP(Tabla1[[#This Row],[Cap.]],Tabulador!$B$3:$L$13,7,FALSE)*Tabla1[[#This Row],[C]]-(AB9+AP9),IF(Tabla1[[#This Row],[EM]]="N",VLOOKUP(Tabla1[[#This Row],[Cap.]],Tabulador!$B$3:$L$13,7,FALSE)*Tabla1[[#This Row],[C]],"")),"")</f>
        <v>1.3121414017675193</v>
      </c>
      <c r="AJ9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9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9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9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9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9" s="370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>0</v>
      </c>
      <c r="AP9" s="370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>0</v>
      </c>
      <c r="AQ9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9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9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9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9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Row],[Cap.]],Tabulador!$B$3:$L$13,11,FALSE)/P9*Tabla1[[#This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9" s="332">
        <f>IF(Tabla1[[#This Row],[KG CARGA]]&lt;&gt;"",(SUM(Tabla1[[#This Row],[Flete]:[Fin semana10]])/Tabulador!$M$1)/Tabla1[[#This Row],[KG CARGA]],"")</f>
        <v>3.3437917973974676E-2</v>
      </c>
      <c r="AW9" s="21">
        <f>IF(Tabla1[[#This Row],[$/KG]]&lt;&gt;"",Tabulador!$M$1,"")</f>
        <v>1</v>
      </c>
      <c r="AX9" s="371">
        <f>IF(Tabla1[[#This Row],[KGS PASTA]]&gt;0,Tabla1[[#This Row],[KG PASTA]]/Tabla1[[#This Row],[KGS PASTA]],0)</f>
        <v>1</v>
      </c>
      <c r="AY9" s="371">
        <f>IF(Tabla1[[#This Row],[KGS PASTA]]&gt;0,Tabla1[[#This Row],[KG HARINA]]/Tabla1[[#This Row],[KGS PASTA]],0)</f>
        <v>0</v>
      </c>
      <c r="AZ9" s="402">
        <v>9180</v>
      </c>
      <c r="BA9" s="402">
        <v>0</v>
      </c>
    </row>
    <row r="10" spans="1:53" ht="18" customHeight="1">
      <c r="A10" s="265">
        <v>51085</v>
      </c>
      <c r="B10" s="266">
        <v>51086</v>
      </c>
      <c r="C10" s="266">
        <v>51087</v>
      </c>
      <c r="D10" s="267" t="s">
        <v>415</v>
      </c>
      <c r="E10" s="273" t="s">
        <v>77</v>
      </c>
      <c r="F10" s="269" t="s">
        <v>416</v>
      </c>
      <c r="G10" s="270">
        <v>45631</v>
      </c>
      <c r="H10" s="271">
        <v>8490</v>
      </c>
      <c r="I10" s="272">
        <v>195</v>
      </c>
      <c r="J10" s="272">
        <v>434.75999999999993</v>
      </c>
      <c r="K10" s="272">
        <v>600</v>
      </c>
      <c r="L10" s="271">
        <v>9524.76</v>
      </c>
      <c r="M10" s="274">
        <v>9090</v>
      </c>
      <c r="N10" s="369"/>
      <c r="O10" s="369">
        <v>9524.76</v>
      </c>
      <c r="P10" s="278">
        <v>10000</v>
      </c>
      <c r="Q10" s="275">
        <f t="shared" si="1"/>
        <v>15</v>
      </c>
      <c r="R10" s="277" t="s">
        <v>412</v>
      </c>
      <c r="S10" s="20">
        <f>IF(OR(A10&lt;&gt;"",B10&lt;&gt;""),IF(E10&lt;&gt;"",VLOOKUP(E10,Tabulador!$A:$AU,Q10,FALSE),""),"")</f>
        <v>630</v>
      </c>
      <c r="T10" s="276">
        <v>2</v>
      </c>
      <c r="U10" s="276"/>
      <c r="V10" s="276"/>
      <c r="W10" s="276"/>
      <c r="X10" s="276"/>
      <c r="Y10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>P/N</v>
      </c>
      <c r="Z10" s="284">
        <f>IF(Tabla1[[#This Row],[Cap.]]&lt;&gt;"",Tabla1[[#This Row],[BASE DE FLETE]]/Tabla1[[#This Row],[Cap.]],"")</f>
        <v>6.3E-2</v>
      </c>
      <c r="AA10" s="21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>534.87</v>
      </c>
      <c r="AB10" s="127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>26.740831265039748</v>
      </c>
      <c r="AC10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10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0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0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0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Row],[Cap.]],Tabulador!$B$3:$L$13,11,FALSE)/P10*Tabla1[[#This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0" s="21">
        <f>IF(S10&lt;&gt;"",IF(Tabla1[[#This Row],[EM]]="P/N",S10-(AA10+AO10),IF(Tabla1[[#This Row],[EM]]="N",S10,"")),"")</f>
        <v>57.330000000000041</v>
      </c>
      <c r="AI10" s="21">
        <f>IF(T10&lt;&gt;"",IF(Tabla1[[#This Row],[EM]]="P/N",VLOOKUP(Tabla1[[#This Row],[Cap.]],Tabulador!$B$3:$L$13,7,FALSE)*Tabla1[[#This Row],[C]]-(AB10+AP10),IF(Tabla1[[#This Row],[EM]]="N",VLOOKUP(Tabla1[[#This Row],[Cap.]],Tabulador!$B$3:$L$13,7,FALSE)*Tabla1[[#This Row],[C]],"")),"")</f>
        <v>1.3693573381376538</v>
      </c>
      <c r="AJ10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10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0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0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0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0" s="370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>37.799999999999997</v>
      </c>
      <c r="AP10" s="370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>1.8898113968225969</v>
      </c>
      <c r="AQ10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10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0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0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0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Row],[Cap.]],Tabulador!$B$3:$L$13,11,FALSE)/P10*Tabla1[[#This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0" s="332">
        <f>IF(Tabla1[[#This Row],[KG CARGA]]&lt;&gt;"",(SUM(Tabla1[[#This Row],[Flete]:[Fin semana10]])/Tabulador!$M$1)/Tabla1[[#This Row],[KG CARGA]],"")</f>
        <v>6.5126070221525528E-2</v>
      </c>
      <c r="AW10" s="21">
        <f>IF(Tabla1[[#This Row],[$/KG]]&lt;&gt;"",Tabulador!$M$1,"")</f>
        <v>1</v>
      </c>
      <c r="AX10" s="371">
        <f>IF(Tabla1[[#This Row],[KGS PASTA]]&gt;0,Tabla1[[#This Row],[KG PASTA]]/Tabla1[[#This Row],[KGS PASTA]],0)</f>
        <v>0.93399339933993397</v>
      </c>
      <c r="AY10" s="371">
        <f>IF(Tabla1[[#This Row],[KGS PASTA]]&gt;0,Tabla1[[#This Row],[KG HARINA]]/Tabla1[[#This Row],[KGS PASTA]],0)</f>
        <v>6.6006600660066E-2</v>
      </c>
      <c r="AZ10" s="402">
        <v>8490</v>
      </c>
      <c r="BA10" s="402">
        <v>600</v>
      </c>
    </row>
    <row r="11" spans="1:53" ht="18" customHeight="1">
      <c r="A11" s="265">
        <v>51078</v>
      </c>
      <c r="B11" s="266">
        <v>51079</v>
      </c>
      <c r="C11" s="266"/>
      <c r="D11" s="267" t="s">
        <v>417</v>
      </c>
      <c r="E11" s="273" t="s">
        <v>52</v>
      </c>
      <c r="F11" s="269" t="s">
        <v>402</v>
      </c>
      <c r="G11" s="270">
        <v>45631</v>
      </c>
      <c r="H11" s="271">
        <v>1500</v>
      </c>
      <c r="I11" s="272">
        <v>24</v>
      </c>
      <c r="J11" s="272">
        <v>50.34</v>
      </c>
      <c r="K11" s="272"/>
      <c r="L11" s="272">
        <v>1550.34</v>
      </c>
      <c r="M11" s="274">
        <v>3018</v>
      </c>
      <c r="N11" s="369"/>
      <c r="O11" s="369">
        <v>3365.136</v>
      </c>
      <c r="P11" s="278">
        <v>3500</v>
      </c>
      <c r="Q11" s="275">
        <f t="shared" si="1"/>
        <v>11</v>
      </c>
      <c r="R11" s="277" t="s">
        <v>413</v>
      </c>
      <c r="S11" s="20">
        <f>IF(OR(A11&lt;&gt;"",B11&lt;&gt;""),IF(E11&lt;&gt;"",VLOOKUP(E11,Tabulador!$A:$AU,Q11,FALSE),""),"")</f>
        <v>143</v>
      </c>
      <c r="T11" s="276">
        <v>2</v>
      </c>
      <c r="U11" s="276"/>
      <c r="V11" s="276"/>
      <c r="W11" s="276">
        <v>7</v>
      </c>
      <c r="X11" s="276"/>
      <c r="Y11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>P/N</v>
      </c>
      <c r="Z11" s="284">
        <f>IF(Tabla1[[#This Row],[Cap.]]&lt;&gt;"",Tabla1[[#This Row],[BASE DE FLETE]]/Tabla1[[#This Row],[Cap.]],"")</f>
        <v>4.0857142857142856E-2</v>
      </c>
      <c r="AA11" s="21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>123.30685714285714</v>
      </c>
      <c r="AB11" s="127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>17.936867930449171</v>
      </c>
      <c r="AC11" s="126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>37.667422653943255</v>
      </c>
      <c r="AD11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1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1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1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Row],[Cap.]],Tabulador!$B$3:$L$13,11,FALSE)/P11*Tabla1[[#This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1" s="21">
        <f>IF(S11&lt;&gt;"",IF(Tabla1[[#This Row],[EM]]="P/N",S11-(AA11+AO11),IF(Tabla1[[#This Row],[EM]]="N",S11,"")),"")</f>
        <v>19.69314285714286</v>
      </c>
      <c r="AI11" s="21">
        <f>IF(T11&lt;&gt;"",IF(Tabla1[[#This Row],[EM]]="P/N",VLOOKUP(Tabla1[[#This Row],[Cap.]],Tabulador!$B$3:$L$13,7,FALSE)*Tabla1[[#This Row],[C]]-(AB11+AP11),IF(Tabla1[[#This Row],[EM]]="N",VLOOKUP(Tabla1[[#This Row],[Cap.]],Tabulador!$B$3:$L$13,7,FALSE)*Tabla1[[#This Row],[C]],"")),"")</f>
        <v>2.0631320695508286</v>
      </c>
      <c r="AJ11" s="21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>4.3325773460567447</v>
      </c>
      <c r="AK11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1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1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1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1" s="370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>0</v>
      </c>
      <c r="AP11" s="370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>0</v>
      </c>
      <c r="AQ11" s="370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>0</v>
      </c>
      <c r="AR11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1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1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1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Row],[Cap.]],Tabulador!$B$3:$L$13,11,FALSE)/P11*Tabla1[[#This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1" s="332">
        <f>IF(Tabla1[[#This Row],[KG CARGA]]&lt;&gt;"",(SUM(Tabla1[[#This Row],[Flete]:[Fin semana10]])/Tabulador!$M$1)/Tabla1[[#This Row],[KG CARGA]],"")</f>
        <v>6.0918786046091446E-2</v>
      </c>
      <c r="AW11" s="21">
        <f>IF(Tabla1[[#This Row],[$/KG]]&lt;&gt;"",Tabulador!$M$1,"")</f>
        <v>1</v>
      </c>
      <c r="AX11" s="371">
        <f>IF(Tabla1[[#This Row],[KGS PASTA]]&gt;0,Tabla1[[#This Row],[KG PASTA]]/Tabla1[[#This Row],[KGS PASTA]],0)</f>
        <v>1</v>
      </c>
      <c r="AY11" s="371">
        <f>IF(Tabla1[[#This Row],[KGS PASTA]]&gt;0,Tabla1[[#This Row],[KG HARINA]]/Tabla1[[#This Row],[KGS PASTA]],0)</f>
        <v>0</v>
      </c>
      <c r="AZ11" s="402">
        <v>3018</v>
      </c>
      <c r="BA11" s="402">
        <v>0</v>
      </c>
    </row>
    <row r="12" spans="1:53" ht="18" customHeight="1">
      <c r="A12" s="265"/>
      <c r="B12" s="266"/>
      <c r="C12" s="266"/>
      <c r="D12" s="267" t="s">
        <v>418</v>
      </c>
      <c r="E12" s="273" t="s">
        <v>52</v>
      </c>
      <c r="F12" s="269" t="s">
        <v>402</v>
      </c>
      <c r="G12" s="270">
        <v>45631</v>
      </c>
      <c r="H12" s="271"/>
      <c r="I12" s="272">
        <v>40</v>
      </c>
      <c r="J12" s="272">
        <v>92.16</v>
      </c>
      <c r="K12" s="272"/>
      <c r="L12" s="271">
        <v>92.16</v>
      </c>
      <c r="M12" s="274"/>
      <c r="N12" s="369"/>
      <c r="O12" s="369"/>
      <c r="P12" s="278"/>
      <c r="Q12" s="275" t="str">
        <f t="shared" si="1"/>
        <v/>
      </c>
      <c r="R12" s="277"/>
      <c r="S12" s="20" t="str">
        <f>IF(OR(A12&lt;&gt;"",B12&lt;&gt;""),IF(E12&lt;&gt;"",VLOOKUP(E12,Tabulador!$A:$AU,Q12,FALSE),""),"")</f>
        <v/>
      </c>
      <c r="T12" s="276"/>
      <c r="U12" s="276"/>
      <c r="V12" s="276"/>
      <c r="W12" s="276"/>
      <c r="X12" s="276"/>
      <c r="Y12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12" s="284" t="str">
        <f>IF(Tabla1[[#This Row],[Cap.]]&lt;&gt;"",Tabla1[[#This Row],[BASE DE FLETE]]/Tabla1[[#This Row],[Cap.]],"")</f>
        <v/>
      </c>
      <c r="AA12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12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12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12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2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2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2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Row],[Cap.]],Tabulador!$B$3:$L$13,11,FALSE)/P12*Tabla1[[#This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2" s="21" t="str">
        <f>IF(S12&lt;&gt;"",IF(Tabla1[[#This Row],[EM]]="P/N",S12-(AA12+AO12),IF(Tabla1[[#This Row],[EM]]="N",S12,"")),"")</f>
        <v/>
      </c>
      <c r="AI12" s="21" t="str">
        <f>IF(T12&lt;&gt;"",IF(Tabla1[[#This Row],[EM]]="P/N",VLOOKUP(Tabla1[[#This Row],[Cap.]],Tabulador!$B$3:$L$13,7,FALSE)*Tabla1[[#This Row],[C]]-(AB12+AP12),IF(Tabla1[[#This Row],[EM]]="N",VLOOKUP(Tabla1[[#This Row],[Cap.]],Tabulador!$B$3:$L$13,7,FALSE)*Tabla1[[#This Row],[C]],"")),"")</f>
        <v/>
      </c>
      <c r="AJ12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12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2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2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2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2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12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12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12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2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2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2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Row],[Cap.]],Tabulador!$B$3:$L$13,11,FALSE)/P12*Tabla1[[#This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2" s="332" t="str">
        <f>IF(Tabla1[[#This Row],[KG CARGA]]&lt;&gt;"",(SUM(Tabla1[[#This Row],[Flete]:[Fin semana10]])/Tabulador!$M$1)/Tabla1[[#This Row],[KG CARGA]],"")</f>
        <v/>
      </c>
      <c r="AW12" s="21" t="str">
        <f>IF(Tabla1[[#This Row],[$/KG]]&lt;&gt;"",Tabulador!$M$1,"")</f>
        <v/>
      </c>
      <c r="AX12" s="371">
        <f>IF(Tabla1[[#This Row],[KGS PASTA]]&gt;0,Tabla1[[#This Row],[KG PASTA]]/Tabla1[[#This Row],[KGS PASTA]],0)</f>
        <v>0</v>
      </c>
      <c r="AY12" s="371">
        <f>IF(Tabla1[[#This Row],[KGS PASTA]]&gt;0,Tabla1[[#This Row],[KG HARINA]]/Tabla1[[#This Row],[KGS PASTA]],0)</f>
        <v>0</v>
      </c>
      <c r="AZ12" s="402"/>
      <c r="BA12" s="402"/>
    </row>
    <row r="13" spans="1:53" ht="18" customHeight="1">
      <c r="A13" s="265"/>
      <c r="B13" s="266"/>
      <c r="C13" s="266"/>
      <c r="D13" s="267" t="s">
        <v>419</v>
      </c>
      <c r="E13" s="273" t="s">
        <v>52</v>
      </c>
      <c r="F13" s="269" t="s">
        <v>402</v>
      </c>
      <c r="G13" s="270">
        <v>45631</v>
      </c>
      <c r="H13" s="271"/>
      <c r="I13" s="272">
        <v>57</v>
      </c>
      <c r="J13" s="272">
        <v>133.19999999999999</v>
      </c>
      <c r="K13" s="272"/>
      <c r="L13" s="271">
        <v>133.19999999999999</v>
      </c>
      <c r="M13" s="274"/>
      <c r="N13" s="369"/>
      <c r="O13" s="369"/>
      <c r="P13" s="278"/>
      <c r="Q13" s="275" t="str">
        <f t="shared" si="1"/>
        <v/>
      </c>
      <c r="R13" s="277"/>
      <c r="S13" s="20" t="str">
        <f>IF(OR(A13&lt;&gt;"",B13&lt;&gt;""),IF(E13&lt;&gt;"",VLOOKUP(E13,Tabulador!$A:$AU,Q13,FALSE),""),"")</f>
        <v/>
      </c>
      <c r="T13" s="276"/>
      <c r="U13" s="276"/>
      <c r="V13" s="276"/>
      <c r="W13" s="276"/>
      <c r="X13" s="276"/>
      <c r="Y13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13" s="284" t="str">
        <f>IF(Tabla1[[#This Row],[Cap.]]&lt;&gt;"",Tabla1[[#This Row],[BASE DE FLETE]]/Tabla1[[#This Row],[Cap.]],"")</f>
        <v/>
      </c>
      <c r="AA13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13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13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13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3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3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3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Row],[Cap.]],Tabulador!$B$3:$L$13,11,FALSE)/P13*Tabla1[[#This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3" s="21" t="str">
        <f>IF(S13&lt;&gt;"",IF(Tabla1[[#This Row],[EM]]="P/N",S13-(AA13+AO13),IF(Tabla1[[#This Row],[EM]]="N",S13,"")),"")</f>
        <v/>
      </c>
      <c r="AI13" s="21" t="str">
        <f>IF(T13&lt;&gt;"",IF(Tabla1[[#This Row],[EM]]="P/N",VLOOKUP(Tabla1[[#This Row],[Cap.]],Tabulador!$B$3:$L$13,7,FALSE)*Tabla1[[#This Row],[C]]-(AB13+AP13),IF(Tabla1[[#This Row],[EM]]="N",VLOOKUP(Tabla1[[#This Row],[Cap.]],Tabulador!$B$3:$L$13,7,FALSE)*Tabla1[[#This Row],[C]],"")),"")</f>
        <v/>
      </c>
      <c r="AJ13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13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3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3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3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3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13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13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13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3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3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3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Row],[Cap.]],Tabulador!$B$3:$L$13,11,FALSE)/P13*Tabla1[[#This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3" s="332" t="str">
        <f>IF(Tabla1[[#This Row],[KG CARGA]]&lt;&gt;"",(SUM(Tabla1[[#This Row],[Flete]:[Fin semana10]])/Tabulador!$M$1)/Tabla1[[#This Row],[KG CARGA]],"")</f>
        <v/>
      </c>
      <c r="AW13" s="21" t="str">
        <f>IF(Tabla1[[#This Row],[$/KG]]&lt;&gt;"",Tabulador!$M$1,"")</f>
        <v/>
      </c>
      <c r="AX13" s="371">
        <f>IF(Tabla1[[#This Row],[KGS PASTA]]&gt;0,Tabla1[[#This Row],[KG PASTA]]/Tabla1[[#This Row],[KGS PASTA]],0)</f>
        <v>0</v>
      </c>
      <c r="AY13" s="371">
        <f>IF(Tabla1[[#This Row],[KGS PASTA]]&gt;0,Tabla1[[#This Row],[KG HARINA]]/Tabla1[[#This Row],[KGS PASTA]],0)</f>
        <v>0</v>
      </c>
      <c r="AZ13" s="402"/>
      <c r="BA13" s="402"/>
    </row>
    <row r="14" spans="1:53" ht="18" customHeight="1">
      <c r="A14" s="265"/>
      <c r="B14" s="266"/>
      <c r="C14" s="266"/>
      <c r="D14" s="267" t="s">
        <v>420</v>
      </c>
      <c r="E14" s="273" t="s">
        <v>52</v>
      </c>
      <c r="F14" s="269" t="s">
        <v>402</v>
      </c>
      <c r="G14" s="270">
        <v>45631</v>
      </c>
      <c r="H14" s="271">
        <v>30</v>
      </c>
      <c r="I14" s="272">
        <v>2</v>
      </c>
      <c r="J14" s="272">
        <v>4.32</v>
      </c>
      <c r="K14" s="272"/>
      <c r="L14" s="271">
        <v>34.32</v>
      </c>
      <c r="M14" s="274"/>
      <c r="N14" s="369"/>
      <c r="O14" s="369"/>
      <c r="P14" s="278"/>
      <c r="Q14" s="275" t="str">
        <f t="shared" si="1"/>
        <v/>
      </c>
      <c r="R14" s="277"/>
      <c r="S14" s="20" t="str">
        <f>IF(OR(A14&lt;&gt;"",B14&lt;&gt;""),IF(E14&lt;&gt;"",VLOOKUP(E14,Tabulador!$A:$AU,Q14,FALSE),""),"")</f>
        <v/>
      </c>
      <c r="T14" s="276"/>
      <c r="U14" s="276"/>
      <c r="V14" s="276"/>
      <c r="W14" s="276"/>
      <c r="X14" s="276"/>
      <c r="Y14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14" s="284" t="str">
        <f>IF(Tabla1[[#This Row],[Cap.]]&lt;&gt;"",Tabla1[[#This Row],[BASE DE FLETE]]/Tabla1[[#This Row],[Cap.]],"")</f>
        <v/>
      </c>
      <c r="AA14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14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14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14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4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4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4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4" s="21" t="str">
        <f>IF(S14&lt;&gt;"",IF(Tabla1[[#This Row],[EM]]="P/N",S14-(AA14+AO14),IF(Tabla1[[#This Row],[EM]]="N",S14,"")),"")</f>
        <v/>
      </c>
      <c r="AI14" s="21" t="str">
        <f>IF(T14&lt;&gt;"",IF(Tabla1[[#This Row],[EM]]="P/N",VLOOKUP(Tabla1[[#This Row],[Cap.]],Tabulador!$B$3:$L$13,7,FALSE)*Tabla1[[#This Row],[C]]-(AB14+AP14),IF(Tabla1[[#This Row],[EM]]="N",VLOOKUP(Tabla1[[#This Row],[Cap.]],Tabulador!$B$3:$L$13,7,FALSE)*Tabla1[[#This Row],[C]],"")),"")</f>
        <v/>
      </c>
      <c r="AJ14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14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4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4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4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4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14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14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14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4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4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4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4" s="332" t="str">
        <f>IF(Tabla1[[#This Row],[KG CARGA]]&lt;&gt;"",(SUM(Tabla1[[#This Row],[Flete]:[Fin semana10]])/Tabulador!$M$1)/Tabla1[[#This Row],[KG CARGA]],"")</f>
        <v/>
      </c>
      <c r="AW14" s="21" t="str">
        <f>IF(Tabla1[[#This Row],[$/KG]]&lt;&gt;"",Tabulador!$M$1,"")</f>
        <v/>
      </c>
      <c r="AX14" s="371">
        <f>IF(Tabla1[[#This Row],[KGS PASTA]]&gt;0,Tabla1[[#This Row],[KG PASTA]]/Tabla1[[#This Row],[KGS PASTA]],0)</f>
        <v>0</v>
      </c>
      <c r="AY14" s="371">
        <f>IF(Tabla1[[#This Row],[KGS PASTA]]&gt;0,Tabla1[[#This Row],[KG HARINA]]/Tabla1[[#This Row],[KGS PASTA]],0)</f>
        <v>0</v>
      </c>
      <c r="AZ14" s="402"/>
      <c r="BA14" s="402"/>
    </row>
    <row r="15" spans="1:53" ht="18" customHeight="1">
      <c r="A15" s="265"/>
      <c r="B15" s="266"/>
      <c r="C15" s="266"/>
      <c r="D15" s="267" t="s">
        <v>421</v>
      </c>
      <c r="E15" s="273" t="s">
        <v>52</v>
      </c>
      <c r="F15" s="269" t="s">
        <v>402</v>
      </c>
      <c r="G15" s="270">
        <v>45631</v>
      </c>
      <c r="H15" s="271">
        <v>630</v>
      </c>
      <c r="I15" s="272">
        <v>27</v>
      </c>
      <c r="J15" s="272">
        <v>57.36</v>
      </c>
      <c r="K15" s="272"/>
      <c r="L15" s="271">
        <v>687.36</v>
      </c>
      <c r="M15" s="274"/>
      <c r="N15" s="369"/>
      <c r="O15" s="369"/>
      <c r="P15" s="278"/>
      <c r="Q15" s="275" t="str">
        <f t="shared" si="1"/>
        <v/>
      </c>
      <c r="R15" s="277"/>
      <c r="S15" s="20" t="str">
        <f>IF(OR(A15&lt;&gt;"",B15&lt;&gt;""),IF(E15&lt;&gt;"",VLOOKUP(E15,Tabulador!$A:$AU,Q15,FALSE),""),"")</f>
        <v/>
      </c>
      <c r="T15" s="276"/>
      <c r="U15" s="276"/>
      <c r="V15" s="276"/>
      <c r="W15" s="276"/>
      <c r="X15" s="276"/>
      <c r="Y15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15" s="284" t="str">
        <f>IF(Tabla1[[#This Row],[Cap.]]&lt;&gt;"",Tabla1[[#This Row],[BASE DE FLETE]]/Tabla1[[#This Row],[Cap.]],"")</f>
        <v/>
      </c>
      <c r="AA15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15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15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15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5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5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5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5" s="21" t="str">
        <f>IF(S15&lt;&gt;"",IF(Tabla1[[#This Row],[EM]]="P/N",S15-(AA15+AO15),IF(Tabla1[[#This Row],[EM]]="N",S15,"")),"")</f>
        <v/>
      </c>
      <c r="AI15" s="21" t="str">
        <f>IF(T15&lt;&gt;"",IF(Tabla1[[#This Row],[EM]]="P/N",VLOOKUP(Tabla1[[#This Row],[Cap.]],Tabulador!$B$3:$L$13,7,FALSE)*Tabla1[[#This Row],[C]]-(AB15+AP15),IF(Tabla1[[#This Row],[EM]]="N",VLOOKUP(Tabla1[[#This Row],[Cap.]],Tabulador!$B$3:$L$13,7,FALSE)*Tabla1[[#This Row],[C]],"")),"")</f>
        <v/>
      </c>
      <c r="AJ15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15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5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5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5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5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15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15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15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5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5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5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5" s="332" t="str">
        <f>IF(Tabla1[[#This Row],[KG CARGA]]&lt;&gt;"",(SUM(Tabla1[[#This Row],[Flete]:[Fin semana10]])/Tabulador!$M$1)/Tabla1[[#This Row],[KG CARGA]],"")</f>
        <v/>
      </c>
      <c r="AW15" s="21" t="str">
        <f>IF(Tabla1[[#This Row],[$/KG]]&lt;&gt;"",Tabulador!$M$1,"")</f>
        <v/>
      </c>
      <c r="AX15" s="371">
        <f>IF(Tabla1[[#This Row],[KGS PASTA]]&gt;0,Tabla1[[#This Row],[KG PASTA]]/Tabla1[[#This Row],[KGS PASTA]],0)</f>
        <v>0</v>
      </c>
      <c r="AY15" s="371">
        <f>IF(Tabla1[[#This Row],[KGS PASTA]]&gt;0,Tabla1[[#This Row],[KG HARINA]]/Tabla1[[#This Row],[KGS PASTA]],0)</f>
        <v>0</v>
      </c>
      <c r="AZ15" s="402"/>
      <c r="BA15" s="402"/>
    </row>
    <row r="16" spans="1:53" ht="18" customHeight="1">
      <c r="A16" s="265"/>
      <c r="B16" s="266"/>
      <c r="C16" s="266"/>
      <c r="D16" s="267" t="s">
        <v>422</v>
      </c>
      <c r="E16" s="273" t="s">
        <v>52</v>
      </c>
      <c r="F16" s="269" t="s">
        <v>402</v>
      </c>
      <c r="G16" s="270">
        <v>45631</v>
      </c>
      <c r="H16" s="271">
        <v>360</v>
      </c>
      <c r="I16" s="272">
        <v>1</v>
      </c>
      <c r="J16" s="272">
        <v>1.68</v>
      </c>
      <c r="K16" s="272"/>
      <c r="L16" s="271">
        <v>361.68</v>
      </c>
      <c r="M16" s="274"/>
      <c r="N16" s="369"/>
      <c r="O16" s="369"/>
      <c r="P16" s="278"/>
      <c r="Q16" s="275" t="str">
        <f t="shared" si="1"/>
        <v/>
      </c>
      <c r="R16" s="277"/>
      <c r="S16" s="20" t="str">
        <f>IF(OR(A16&lt;&gt;"",B16&lt;&gt;""),IF(E16&lt;&gt;"",VLOOKUP(E16,Tabulador!$A:$AU,Q16,FALSE),""),"")</f>
        <v/>
      </c>
      <c r="T16" s="276"/>
      <c r="U16" s="276"/>
      <c r="V16" s="276"/>
      <c r="W16" s="276"/>
      <c r="X16" s="276"/>
      <c r="Y16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16" s="284" t="str">
        <f>IF(Tabla1[[#This Row],[Cap.]]&lt;&gt;"",Tabla1[[#This Row],[BASE DE FLETE]]/Tabla1[[#This Row],[Cap.]],"")</f>
        <v/>
      </c>
      <c r="AA16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16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16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16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6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6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6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Row],[Cap.]],Tabulador!$B$3:$L$13,11,FALSE)/P16*Tabla1[[#This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6" s="21" t="str">
        <f>IF(S16&lt;&gt;"",IF(Tabla1[[#This Row],[EM]]="P/N",S16-(AA16+AO16),IF(Tabla1[[#This Row],[EM]]="N",S16,"")),"")</f>
        <v/>
      </c>
      <c r="AI16" s="21" t="str">
        <f>IF(T16&lt;&gt;"",IF(Tabla1[[#This Row],[EM]]="P/N",VLOOKUP(Tabla1[[#This Row],[Cap.]],Tabulador!$B$3:$L$13,7,FALSE)*Tabla1[[#This Row],[C]]-(AB16+AP16),IF(Tabla1[[#This Row],[EM]]="N",VLOOKUP(Tabla1[[#This Row],[Cap.]],Tabulador!$B$3:$L$13,7,FALSE)*Tabla1[[#This Row],[C]],"")),"")</f>
        <v/>
      </c>
      <c r="AJ16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16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6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6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6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6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16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16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16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6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6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6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Row],[Cap.]],Tabulador!$B$3:$L$13,11,FALSE)/P16*Tabla1[[#This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6" s="332" t="str">
        <f>IF(Tabla1[[#This Row],[KG CARGA]]&lt;&gt;"",(SUM(Tabla1[[#This Row],[Flete]:[Fin semana10]])/Tabulador!$M$1)/Tabla1[[#This Row],[KG CARGA]],"")</f>
        <v/>
      </c>
      <c r="AW16" s="21" t="str">
        <f>IF(Tabla1[[#This Row],[$/KG]]&lt;&gt;"",Tabulador!$M$1,"")</f>
        <v/>
      </c>
      <c r="AX16" s="371">
        <f>IF(Tabla1[[#This Row],[KGS PASTA]]&gt;0,Tabla1[[#This Row],[KG PASTA]]/Tabla1[[#This Row],[KGS PASTA]],0)</f>
        <v>0</v>
      </c>
      <c r="AY16" s="371">
        <f>IF(Tabla1[[#This Row],[KGS PASTA]]&gt;0,Tabla1[[#This Row],[KG HARINA]]/Tabla1[[#This Row],[KGS PASTA]],0)</f>
        <v>0</v>
      </c>
      <c r="AZ16" s="402"/>
      <c r="BA16" s="402"/>
    </row>
    <row r="17" spans="1:53" ht="18" customHeight="1">
      <c r="A17" s="265"/>
      <c r="B17" s="266"/>
      <c r="C17" s="266"/>
      <c r="D17" s="267" t="s">
        <v>423</v>
      </c>
      <c r="E17" s="273" t="s">
        <v>52</v>
      </c>
      <c r="F17" s="269" t="s">
        <v>402</v>
      </c>
      <c r="G17" s="270">
        <v>45631</v>
      </c>
      <c r="H17" s="271">
        <v>480</v>
      </c>
      <c r="I17" s="272">
        <v>1</v>
      </c>
      <c r="J17" s="272">
        <v>2.16</v>
      </c>
      <c r="K17" s="272"/>
      <c r="L17" s="271">
        <v>482.16</v>
      </c>
      <c r="M17" s="274"/>
      <c r="N17" s="369"/>
      <c r="O17" s="369"/>
      <c r="P17" s="278"/>
      <c r="Q17" s="275" t="str">
        <f t="shared" si="1"/>
        <v/>
      </c>
      <c r="R17" s="277"/>
      <c r="S17" s="20" t="str">
        <f>IF(OR(A17&lt;&gt;"",B17&lt;&gt;""),IF(E17&lt;&gt;"",VLOOKUP(E17,Tabulador!$A:$AU,Q17,FALSE),""),"")</f>
        <v/>
      </c>
      <c r="T17" s="276"/>
      <c r="U17" s="276"/>
      <c r="V17" s="276"/>
      <c r="W17" s="276"/>
      <c r="X17" s="276"/>
      <c r="Y17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17" s="284" t="str">
        <f>IF(Tabla1[[#This Row],[Cap.]]&lt;&gt;"",Tabla1[[#This Row],[BASE DE FLETE]]/Tabla1[[#This Row],[Cap.]],"")</f>
        <v/>
      </c>
      <c r="AA17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17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17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17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7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7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7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Row],[Cap.]],Tabulador!$B$3:$L$13,11,FALSE)/P17*Tabla1[[#This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7" s="21" t="str">
        <f>IF(S17&lt;&gt;"",IF(Tabla1[[#This Row],[EM]]="P/N",S17-(AA17+AO17),IF(Tabla1[[#This Row],[EM]]="N",S17,"")),"")</f>
        <v/>
      </c>
      <c r="AI17" s="21" t="str">
        <f>IF(T17&lt;&gt;"",IF(Tabla1[[#This Row],[EM]]="P/N",VLOOKUP(Tabla1[[#This Row],[Cap.]],Tabulador!$B$3:$L$13,7,FALSE)*Tabla1[[#This Row],[C]]-(AB17+AP17),IF(Tabla1[[#This Row],[EM]]="N",VLOOKUP(Tabla1[[#This Row],[Cap.]],Tabulador!$B$3:$L$13,7,FALSE)*Tabla1[[#This Row],[C]],"")),"")</f>
        <v/>
      </c>
      <c r="AJ17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17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7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7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7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7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17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17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17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7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7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7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Row],[Cap.]],Tabulador!$B$3:$L$13,11,FALSE)/P17*Tabla1[[#This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7" s="332" t="str">
        <f>IF(Tabla1[[#This Row],[KG CARGA]]&lt;&gt;"",(SUM(Tabla1[[#This Row],[Flete]:[Fin semana10]])/Tabulador!$M$1)/Tabla1[[#This Row],[KG CARGA]],"")</f>
        <v/>
      </c>
      <c r="AW17" s="21" t="str">
        <f>IF(Tabla1[[#This Row],[$/KG]]&lt;&gt;"",Tabulador!$M$1,"")</f>
        <v/>
      </c>
      <c r="AX17" s="371">
        <f>IF(Tabla1[[#This Row],[KGS PASTA]]&gt;0,Tabla1[[#This Row],[KG PASTA]]/Tabla1[[#This Row],[KGS PASTA]],0)</f>
        <v>0</v>
      </c>
      <c r="AY17" s="371">
        <f>IF(Tabla1[[#This Row],[KGS PASTA]]&gt;0,Tabla1[[#This Row],[KG HARINA]]/Tabla1[[#This Row],[KGS PASTA]],0)</f>
        <v>0</v>
      </c>
      <c r="AZ17" s="402"/>
      <c r="BA17" s="402"/>
    </row>
    <row r="18" spans="1:53" ht="18" customHeight="1">
      <c r="A18" s="265"/>
      <c r="B18" s="266"/>
      <c r="C18" s="266"/>
      <c r="D18" s="267" t="s">
        <v>424</v>
      </c>
      <c r="E18" s="273" t="s">
        <v>52</v>
      </c>
      <c r="F18" s="269" t="s">
        <v>402</v>
      </c>
      <c r="G18" s="270">
        <v>45631</v>
      </c>
      <c r="H18" s="271">
        <v>18</v>
      </c>
      <c r="I18" s="272">
        <v>3</v>
      </c>
      <c r="J18" s="272">
        <v>5.9160000000000004</v>
      </c>
      <c r="K18" s="272"/>
      <c r="L18" s="271">
        <v>23.916</v>
      </c>
      <c r="M18" s="274"/>
      <c r="N18" s="369"/>
      <c r="O18" s="369"/>
      <c r="P18" s="278"/>
      <c r="Q18" s="275" t="str">
        <f t="shared" si="1"/>
        <v/>
      </c>
      <c r="R18" s="277"/>
      <c r="S18" s="20" t="str">
        <f>IF(OR(A18&lt;&gt;"",B18&lt;&gt;""),IF(E18&lt;&gt;"",VLOOKUP(E18,Tabulador!$A:$AU,Q18,FALSE),""),"")</f>
        <v/>
      </c>
      <c r="T18" s="276"/>
      <c r="U18" s="276"/>
      <c r="V18" s="276"/>
      <c r="W18" s="276"/>
      <c r="X18" s="276"/>
      <c r="Y18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18" s="284" t="str">
        <f>IF(Tabla1[[#This Row],[Cap.]]&lt;&gt;"",Tabla1[[#This Row],[BASE DE FLETE]]/Tabla1[[#This Row],[Cap.]],"")</f>
        <v/>
      </c>
      <c r="AA18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18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18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18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8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8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8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Row],[Cap.]],Tabulador!$B$3:$L$13,11,FALSE)/P18*Tabla1[[#This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8" s="21" t="str">
        <f>IF(S18&lt;&gt;"",IF(Tabla1[[#This Row],[EM]]="P/N",S18-(AA18+AO18),IF(Tabla1[[#This Row],[EM]]="N",S18,"")),"")</f>
        <v/>
      </c>
      <c r="AI18" s="21" t="str">
        <f>IF(T18&lt;&gt;"",IF(Tabla1[[#This Row],[EM]]="P/N",VLOOKUP(Tabla1[[#This Row],[Cap.]],Tabulador!$B$3:$L$13,7,FALSE)*Tabla1[[#This Row],[C]]-(AB18+AP18),IF(Tabla1[[#This Row],[EM]]="N",VLOOKUP(Tabla1[[#This Row],[Cap.]],Tabulador!$B$3:$L$13,7,FALSE)*Tabla1[[#This Row],[C]],"")),"")</f>
        <v/>
      </c>
      <c r="AJ18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18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8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8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8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8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18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18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18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8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8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8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Row],[Cap.]],Tabulador!$B$3:$L$13,11,FALSE)/P18*Tabla1[[#This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8" s="332" t="str">
        <f>IF(Tabla1[[#This Row],[KG CARGA]]&lt;&gt;"",(SUM(Tabla1[[#This Row],[Flete]:[Fin semana10]])/Tabulador!$M$1)/Tabla1[[#This Row],[KG CARGA]],"")</f>
        <v/>
      </c>
      <c r="AW18" s="21" t="str">
        <f>IF(Tabla1[[#This Row],[$/KG]]&lt;&gt;"",Tabulador!$M$1,"")</f>
        <v/>
      </c>
      <c r="AX18" s="371">
        <f>IF(Tabla1[[#This Row],[KGS PASTA]]&gt;0,Tabla1[[#This Row],[KG PASTA]]/Tabla1[[#This Row],[KGS PASTA]],0)</f>
        <v>0</v>
      </c>
      <c r="AY18" s="371">
        <f>IF(Tabla1[[#This Row],[KGS PASTA]]&gt;0,Tabla1[[#This Row],[KG HARINA]]/Tabla1[[#This Row],[KGS PASTA]],0)</f>
        <v>0</v>
      </c>
      <c r="AZ18" s="402"/>
      <c r="BA18" s="402"/>
    </row>
    <row r="19" spans="1:53" ht="18" customHeight="1">
      <c r="A19" s="265">
        <v>51076</v>
      </c>
      <c r="B19" s="266">
        <v>51077</v>
      </c>
      <c r="C19" s="266"/>
      <c r="D19" s="267" t="s">
        <v>425</v>
      </c>
      <c r="E19" s="273" t="s">
        <v>46</v>
      </c>
      <c r="F19" s="269" t="s">
        <v>403</v>
      </c>
      <c r="G19" s="270">
        <v>45631</v>
      </c>
      <c r="H19" s="271">
        <v>1308</v>
      </c>
      <c r="I19" s="272"/>
      <c r="J19" s="272"/>
      <c r="K19" s="272"/>
      <c r="L19" s="271">
        <v>1308</v>
      </c>
      <c r="M19" s="274">
        <v>1788</v>
      </c>
      <c r="N19" s="369"/>
      <c r="O19" s="369">
        <v>2403.2160000000003</v>
      </c>
      <c r="P19" s="278">
        <v>2500</v>
      </c>
      <c r="Q19" s="275">
        <f t="shared" si="1"/>
        <v>10</v>
      </c>
      <c r="R19" s="277" t="s">
        <v>439</v>
      </c>
      <c r="S19" s="20">
        <f>IF(OR(A19&lt;&gt;"",B19&lt;&gt;""),IF(E19&lt;&gt;"",VLOOKUP(E19,Tabulador!$A:$AU,Q19,FALSE),""),"")</f>
        <v>200</v>
      </c>
      <c r="T19" s="276">
        <v>2</v>
      </c>
      <c r="U19" s="276"/>
      <c r="V19" s="276"/>
      <c r="W19" s="276">
        <v>5</v>
      </c>
      <c r="X19" s="276"/>
      <c r="Y19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>P/N</v>
      </c>
      <c r="Z19" s="284">
        <f>IF(Tabla1[[#This Row],[Cap.]]&lt;&gt;"",Tabla1[[#This Row],[BASE DE FLETE]]/Tabla1[[#This Row],[Cap.]],"")</f>
        <v>0.08</v>
      </c>
      <c r="AA19" s="21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>143.04</v>
      </c>
      <c r="AB19" s="127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>14.880060718637024</v>
      </c>
      <c r="AC19" s="126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>22.320091077955539</v>
      </c>
      <c r="AD19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19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19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19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Row],[Cap.]],Tabulador!$B$3:$L$13,11,FALSE)/P19*Tabla1[[#This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19" s="21">
        <f>IF(S19&lt;&gt;"",IF(Tabla1[[#This Row],[EM]]="P/N",S19-(AA19+AO19),IF(Tabla1[[#This Row],[EM]]="N",S19,"")),"")</f>
        <v>56.960000000000008</v>
      </c>
      <c r="AI19" s="21">
        <f>IF(T19&lt;&gt;"",IF(Tabla1[[#This Row],[EM]]="P/N",VLOOKUP(Tabla1[[#This Row],[Cap.]],Tabulador!$B$3:$L$13,7,FALSE)*Tabla1[[#This Row],[C]]-(AB19+AP19),IF(Tabla1[[#This Row],[EM]]="N",VLOOKUP(Tabla1[[#This Row],[Cap.]],Tabulador!$B$3:$L$13,7,FALSE)*Tabla1[[#This Row],[C]],"")),"")</f>
        <v>5.119939281362976</v>
      </c>
      <c r="AJ19" s="21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>7.6799089220444614</v>
      </c>
      <c r="AK19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19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19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19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19" s="370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>0</v>
      </c>
      <c r="AP19" s="370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>0</v>
      </c>
      <c r="AQ19" s="370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>0</v>
      </c>
      <c r="AR19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19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19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19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Row],[Cap.]],Tabulador!$B$3:$L$13,11,FALSE)/P19*Tabla1[[#This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19" s="332">
        <f>IF(Tabla1[[#This Row],[KG CARGA]]&lt;&gt;"",(SUM(Tabla1[[#This Row],[Flete]:[Fin semana10]])/Tabulador!$M$1)/Tabla1[[#This Row],[KG CARGA]],"")</f>
        <v>0.10402727012469955</v>
      </c>
      <c r="AW19" s="21">
        <f>IF(Tabla1[[#This Row],[$/KG]]&lt;&gt;"",Tabulador!$M$1,"")</f>
        <v>1</v>
      </c>
      <c r="AX19" s="371">
        <f>IF(Tabla1[[#This Row],[KGS PASTA]]&gt;0,Tabla1[[#This Row],[KG PASTA]]/Tabla1[[#This Row],[KGS PASTA]],0)</f>
        <v>1</v>
      </c>
      <c r="AY19" s="371">
        <f>IF(Tabla1[[#This Row],[KGS PASTA]]&gt;0,Tabla1[[#This Row],[KG HARINA]]/Tabla1[[#This Row],[KGS PASTA]],0)</f>
        <v>0</v>
      </c>
      <c r="AZ19" s="402">
        <v>1788</v>
      </c>
      <c r="BA19" s="402">
        <v>0</v>
      </c>
    </row>
    <row r="20" spans="1:53" ht="18" customHeight="1">
      <c r="A20" s="265"/>
      <c r="B20" s="266"/>
      <c r="C20" s="266"/>
      <c r="D20" s="267" t="s">
        <v>426</v>
      </c>
      <c r="E20" s="273" t="s">
        <v>46</v>
      </c>
      <c r="F20" s="269" t="s">
        <v>427</v>
      </c>
      <c r="G20" s="270">
        <v>45631</v>
      </c>
      <c r="H20" s="271"/>
      <c r="I20" s="272">
        <v>22</v>
      </c>
      <c r="J20" s="272">
        <v>48.455999999999996</v>
      </c>
      <c r="K20" s="272"/>
      <c r="L20" s="271">
        <v>48.455999999999996</v>
      </c>
      <c r="M20" s="274"/>
      <c r="N20" s="369"/>
      <c r="O20" s="369"/>
      <c r="P20" s="278"/>
      <c r="Q20" s="275" t="str">
        <f t="shared" si="1"/>
        <v/>
      </c>
      <c r="R20" s="277"/>
      <c r="S20" s="20" t="str">
        <f>IF(OR(A20&lt;&gt;"",B20&lt;&gt;""),IF(E20&lt;&gt;"",VLOOKUP(E20,Tabulador!$A:$AU,Q20,FALSE),""),"")</f>
        <v/>
      </c>
      <c r="T20" s="276"/>
      <c r="U20" s="276"/>
      <c r="V20" s="276"/>
      <c r="W20" s="276"/>
      <c r="X20" s="276"/>
      <c r="Y20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20" s="284" t="str">
        <f>IF(Tabla1[[#This Row],[Cap.]]&lt;&gt;"",Tabla1[[#This Row],[BASE DE FLETE]]/Tabla1[[#This Row],[Cap.]],"")</f>
        <v/>
      </c>
      <c r="AA20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20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20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20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0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0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0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Row],[Cap.]],Tabulador!$B$3:$L$13,11,FALSE)/P20*Tabla1[[#This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0" s="21" t="str">
        <f>IF(S20&lt;&gt;"",IF(Tabla1[[#This Row],[EM]]="P/N",S20-(AA20+AO20),IF(Tabla1[[#This Row],[EM]]="N",S20,"")),"")</f>
        <v/>
      </c>
      <c r="AI20" s="21" t="str">
        <f>IF(T20&lt;&gt;"",IF(Tabla1[[#This Row],[EM]]="P/N",VLOOKUP(Tabla1[[#This Row],[Cap.]],Tabulador!$B$3:$L$13,7,FALSE)*Tabla1[[#This Row],[C]]-(AB20+AP20),IF(Tabla1[[#This Row],[EM]]="N",VLOOKUP(Tabla1[[#This Row],[Cap.]],Tabulador!$B$3:$L$13,7,FALSE)*Tabla1[[#This Row],[C]],"")),"")</f>
        <v/>
      </c>
      <c r="AJ20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20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0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0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0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0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20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20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20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0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0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0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Row],[Cap.]],Tabulador!$B$3:$L$13,11,FALSE)/P20*Tabla1[[#This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0" s="332" t="str">
        <f>IF(Tabla1[[#This Row],[KG CARGA]]&lt;&gt;"",(SUM(Tabla1[[#This Row],[Flete]:[Fin semana10]])/Tabulador!$M$1)/Tabla1[[#This Row],[KG CARGA]],"")</f>
        <v/>
      </c>
      <c r="AW20" s="21" t="str">
        <f>IF(Tabla1[[#This Row],[$/KG]]&lt;&gt;"",Tabulador!$M$1,"")</f>
        <v/>
      </c>
      <c r="AX20" s="371">
        <f>IF(Tabla1[[#This Row],[KGS PASTA]]&gt;0,Tabla1[[#This Row],[KG PASTA]]/Tabla1[[#This Row],[KGS PASTA]],0)</f>
        <v>0</v>
      </c>
      <c r="AY20" s="371">
        <f>IF(Tabla1[[#This Row],[KGS PASTA]]&gt;0,Tabla1[[#This Row],[KG HARINA]]/Tabla1[[#This Row],[KGS PASTA]],0)</f>
        <v>0</v>
      </c>
      <c r="AZ20" s="402"/>
      <c r="BA20" s="402"/>
    </row>
    <row r="21" spans="1:53" ht="18" customHeight="1">
      <c r="A21" s="265"/>
      <c r="B21" s="266"/>
      <c r="C21" s="266"/>
      <c r="D21" s="267" t="s">
        <v>428</v>
      </c>
      <c r="E21" s="273" t="s">
        <v>46</v>
      </c>
      <c r="F21" s="269" t="s">
        <v>403</v>
      </c>
      <c r="G21" s="270">
        <v>45631</v>
      </c>
      <c r="H21" s="271"/>
      <c r="I21" s="272">
        <v>13</v>
      </c>
      <c r="J21" s="272">
        <v>37.44</v>
      </c>
      <c r="K21" s="272"/>
      <c r="L21" s="271">
        <v>37.44</v>
      </c>
      <c r="M21" s="274"/>
      <c r="N21" s="369"/>
      <c r="O21" s="369"/>
      <c r="P21" s="278"/>
      <c r="Q21" s="275" t="str">
        <f t="shared" si="1"/>
        <v/>
      </c>
      <c r="R21" s="277"/>
      <c r="S21" s="20" t="str">
        <f>IF(OR(A21&lt;&gt;"",B21&lt;&gt;""),IF(E21&lt;&gt;"",VLOOKUP(E21,Tabulador!$A:$AU,Q21,FALSE),""),"")</f>
        <v/>
      </c>
      <c r="T21" s="276"/>
      <c r="U21" s="276"/>
      <c r="V21" s="276"/>
      <c r="W21" s="276"/>
      <c r="X21" s="276"/>
      <c r="Y21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21" s="284" t="str">
        <f>IF(Tabla1[[#This Row],[Cap.]]&lt;&gt;"",Tabla1[[#This Row],[BASE DE FLETE]]/Tabla1[[#This Row],[Cap.]],"")</f>
        <v/>
      </c>
      <c r="AA21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21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21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21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1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1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1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Row],[Cap.]],Tabulador!$B$3:$L$13,11,FALSE)/P21*Tabla1[[#This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1" s="21" t="str">
        <f>IF(S21&lt;&gt;"",IF(Tabla1[[#This Row],[EM]]="P/N",S21-(AA21+AO21),IF(Tabla1[[#This Row],[EM]]="N",S21,"")),"")</f>
        <v/>
      </c>
      <c r="AI21" s="21" t="str">
        <f>IF(T21&lt;&gt;"",IF(Tabla1[[#This Row],[EM]]="P/N",VLOOKUP(Tabla1[[#This Row],[Cap.]],Tabulador!$B$3:$L$13,7,FALSE)*Tabla1[[#This Row],[C]]-(AB21+AP21),IF(Tabla1[[#This Row],[EM]]="N",VLOOKUP(Tabla1[[#This Row],[Cap.]],Tabulador!$B$3:$L$13,7,FALSE)*Tabla1[[#This Row],[C]],"")),"")</f>
        <v/>
      </c>
      <c r="AJ21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21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1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1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1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1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21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21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21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1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1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1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Row],[Cap.]],Tabulador!$B$3:$L$13,11,FALSE)/P21*Tabla1[[#This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1" s="332" t="str">
        <f>IF(Tabla1[[#This Row],[KG CARGA]]&lt;&gt;"",(SUM(Tabla1[[#This Row],[Flete]:[Fin semana10]])/Tabulador!$M$1)/Tabla1[[#This Row],[KG CARGA]],"")</f>
        <v/>
      </c>
      <c r="AW21" s="21" t="str">
        <f>IF(Tabla1[[#This Row],[$/KG]]&lt;&gt;"",Tabulador!$M$1,"")</f>
        <v/>
      </c>
      <c r="AX21" s="371">
        <f>IF(Tabla1[[#This Row],[KGS PASTA]]&gt;0,Tabla1[[#This Row],[KG PASTA]]/Tabla1[[#This Row],[KGS PASTA]],0)</f>
        <v>0</v>
      </c>
      <c r="AY21" s="371">
        <f>IF(Tabla1[[#This Row],[KGS PASTA]]&gt;0,Tabla1[[#This Row],[KG HARINA]]/Tabla1[[#This Row],[KGS PASTA]],0)</f>
        <v>0</v>
      </c>
      <c r="AZ21" s="402"/>
      <c r="BA21" s="402"/>
    </row>
    <row r="22" spans="1:53" ht="18" customHeight="1">
      <c r="A22" s="265"/>
      <c r="B22" s="266"/>
      <c r="C22" s="266"/>
      <c r="D22" s="267" t="s">
        <v>429</v>
      </c>
      <c r="E22" s="273" t="s">
        <v>46</v>
      </c>
      <c r="F22" s="269" t="s">
        <v>403</v>
      </c>
      <c r="G22" s="270">
        <v>45631</v>
      </c>
      <c r="H22" s="271"/>
      <c r="I22" s="272">
        <v>195</v>
      </c>
      <c r="J22" s="272">
        <v>488.40000000000003</v>
      </c>
      <c r="K22" s="272"/>
      <c r="L22" s="271">
        <v>488.40000000000003</v>
      </c>
      <c r="M22" s="274"/>
      <c r="N22" s="369"/>
      <c r="O22" s="369"/>
      <c r="P22" s="278"/>
      <c r="Q22" s="275" t="str">
        <f t="shared" si="1"/>
        <v/>
      </c>
      <c r="R22" s="277"/>
      <c r="S22" s="20" t="str">
        <f>IF(OR(A22&lt;&gt;"",B22&lt;&gt;""),IF(E22&lt;&gt;"",VLOOKUP(E22,Tabulador!$A:$AU,Q22,FALSE),""),"")</f>
        <v/>
      </c>
      <c r="T22" s="276"/>
      <c r="U22" s="276"/>
      <c r="V22" s="276"/>
      <c r="W22" s="276"/>
      <c r="X22" s="276"/>
      <c r="Y22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22" s="284" t="str">
        <f>IF(Tabla1[[#This Row],[Cap.]]&lt;&gt;"",Tabla1[[#This Row],[BASE DE FLETE]]/Tabla1[[#This Row],[Cap.]],"")</f>
        <v/>
      </c>
      <c r="AA22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22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22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22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2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2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2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Row],[Cap.]],Tabulador!$B$3:$L$13,11,FALSE)/P22*Tabla1[[#This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2" s="21" t="str">
        <f>IF(S22&lt;&gt;"",IF(Tabla1[[#This Row],[EM]]="P/N",S22-(AA22+AO22),IF(Tabla1[[#This Row],[EM]]="N",S22,"")),"")</f>
        <v/>
      </c>
      <c r="AI22" s="21" t="str">
        <f>IF(T22&lt;&gt;"",IF(Tabla1[[#This Row],[EM]]="P/N",VLOOKUP(Tabla1[[#This Row],[Cap.]],Tabulador!$B$3:$L$13,7,FALSE)*Tabla1[[#This Row],[C]]-(AB22+AP22),IF(Tabla1[[#This Row],[EM]]="N",VLOOKUP(Tabla1[[#This Row],[Cap.]],Tabulador!$B$3:$L$13,7,FALSE)*Tabla1[[#This Row],[C]],"")),"")</f>
        <v/>
      </c>
      <c r="AJ22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22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2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2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2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2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22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22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22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2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2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2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Row],[Cap.]],Tabulador!$B$3:$L$13,11,FALSE)/P22*Tabla1[[#This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2" s="332" t="str">
        <f>IF(Tabla1[[#This Row],[KG CARGA]]&lt;&gt;"",(SUM(Tabla1[[#This Row],[Flete]:[Fin semana10]])/Tabulador!$M$1)/Tabla1[[#This Row],[KG CARGA]],"")</f>
        <v/>
      </c>
      <c r="AW22" s="21" t="str">
        <f>IF(Tabla1[[#This Row],[$/KG]]&lt;&gt;"",Tabulador!$M$1,"")</f>
        <v/>
      </c>
      <c r="AX22" s="371">
        <f>IF(Tabla1[[#This Row],[KGS PASTA]]&gt;0,Tabla1[[#This Row],[KG PASTA]]/Tabla1[[#This Row],[KGS PASTA]],0)</f>
        <v>0</v>
      </c>
      <c r="AY22" s="371">
        <f>IF(Tabla1[[#This Row],[KGS PASTA]]&gt;0,Tabla1[[#This Row],[KG HARINA]]/Tabla1[[#This Row],[KGS PASTA]],0)</f>
        <v>0</v>
      </c>
      <c r="AZ22" s="402"/>
      <c r="BA22" s="402"/>
    </row>
    <row r="23" spans="1:53" ht="18" customHeight="1">
      <c r="A23" s="265"/>
      <c r="B23" s="266"/>
      <c r="C23" s="266"/>
      <c r="D23" s="267" t="s">
        <v>430</v>
      </c>
      <c r="E23" s="273" t="s">
        <v>46</v>
      </c>
      <c r="F23" s="269" t="s">
        <v>403</v>
      </c>
      <c r="G23" s="270">
        <v>45631</v>
      </c>
      <c r="H23" s="271">
        <v>480</v>
      </c>
      <c r="I23" s="272"/>
      <c r="J23" s="272"/>
      <c r="K23" s="272"/>
      <c r="L23" s="271">
        <v>480</v>
      </c>
      <c r="M23" s="274"/>
      <c r="N23" s="369"/>
      <c r="O23" s="369"/>
      <c r="P23" s="278"/>
      <c r="Q23" s="275" t="str">
        <f t="shared" si="1"/>
        <v/>
      </c>
      <c r="R23" s="277"/>
      <c r="S23" s="20" t="str">
        <f>IF(OR(A23&lt;&gt;"",B23&lt;&gt;""),IF(E23&lt;&gt;"",VLOOKUP(E23,Tabulador!$A:$AU,Q23,FALSE),""),"")</f>
        <v/>
      </c>
      <c r="T23" s="276"/>
      <c r="U23" s="276"/>
      <c r="V23" s="276"/>
      <c r="W23" s="276"/>
      <c r="X23" s="276"/>
      <c r="Y23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23" s="284" t="str">
        <f>IF(Tabla1[[#This Row],[Cap.]]&lt;&gt;"",Tabla1[[#This Row],[BASE DE FLETE]]/Tabla1[[#This Row],[Cap.]],"")</f>
        <v/>
      </c>
      <c r="AA23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23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23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23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3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3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3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Row],[Cap.]],Tabulador!$B$3:$L$13,11,FALSE)/P23*Tabla1[[#This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3" s="21" t="str">
        <f>IF(S23&lt;&gt;"",IF(Tabla1[[#This Row],[EM]]="P/N",S23-(AA23+AO23),IF(Tabla1[[#This Row],[EM]]="N",S23,"")),"")</f>
        <v/>
      </c>
      <c r="AI23" s="21" t="str">
        <f>IF(T23&lt;&gt;"",IF(Tabla1[[#This Row],[EM]]="P/N",VLOOKUP(Tabla1[[#This Row],[Cap.]],Tabulador!$B$3:$L$13,7,FALSE)*Tabla1[[#This Row],[C]]-(AB23+AP23),IF(Tabla1[[#This Row],[EM]]="N",VLOOKUP(Tabla1[[#This Row],[Cap.]],Tabulador!$B$3:$L$13,7,FALSE)*Tabla1[[#This Row],[C]],"")),"")</f>
        <v/>
      </c>
      <c r="AJ23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23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3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3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3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3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23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23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23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3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3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3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Row],[Cap.]],Tabulador!$B$3:$L$13,11,FALSE)/P23*Tabla1[[#This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3" s="332" t="str">
        <f>IF(Tabla1[[#This Row],[KG CARGA]]&lt;&gt;"",(SUM(Tabla1[[#This Row],[Flete]:[Fin semana10]])/Tabulador!$M$1)/Tabla1[[#This Row],[KG CARGA]],"")</f>
        <v/>
      </c>
      <c r="AW23" s="21" t="str">
        <f>IF(Tabla1[[#This Row],[$/KG]]&lt;&gt;"",Tabulador!$M$1,"")</f>
        <v/>
      </c>
      <c r="AX23" s="371">
        <f>IF(Tabla1[[#This Row],[KGS PASTA]]&gt;0,Tabla1[[#This Row],[KG PASTA]]/Tabla1[[#This Row],[KGS PASTA]],0)</f>
        <v>0</v>
      </c>
      <c r="AY23" s="371">
        <f>IF(Tabla1[[#This Row],[KGS PASTA]]&gt;0,Tabla1[[#This Row],[KG HARINA]]/Tabla1[[#This Row],[KGS PASTA]],0)</f>
        <v>0</v>
      </c>
      <c r="AZ23" s="402"/>
      <c r="BA23" s="402"/>
    </row>
    <row r="24" spans="1:53" ht="18" customHeight="1">
      <c r="A24" s="265"/>
      <c r="B24" s="266"/>
      <c r="C24" s="266"/>
      <c r="D24" s="267" t="s">
        <v>431</v>
      </c>
      <c r="E24" s="273" t="s">
        <v>46</v>
      </c>
      <c r="F24" s="269" t="s">
        <v>432</v>
      </c>
      <c r="G24" s="270">
        <v>45631</v>
      </c>
      <c r="H24" s="271"/>
      <c r="I24" s="272">
        <v>17</v>
      </c>
      <c r="J24" s="272">
        <v>40.92</v>
      </c>
      <c r="K24" s="272"/>
      <c r="L24" s="271">
        <v>40.92</v>
      </c>
      <c r="M24" s="274"/>
      <c r="N24" s="369"/>
      <c r="O24" s="369"/>
      <c r="P24" s="278"/>
      <c r="Q24" s="275" t="str">
        <f t="shared" si="1"/>
        <v/>
      </c>
      <c r="R24" s="277"/>
      <c r="S24" s="20" t="str">
        <f>IF(OR(A24&lt;&gt;"",B24&lt;&gt;""),IF(E24&lt;&gt;"",VLOOKUP(E24,Tabulador!$A:$AU,Q24,FALSE),""),"")</f>
        <v/>
      </c>
      <c r="T24" s="276"/>
      <c r="U24" s="276"/>
      <c r="V24" s="276"/>
      <c r="W24" s="276"/>
      <c r="X24" s="276"/>
      <c r="Y24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24" s="284" t="str">
        <f>IF(Tabla1[[#This Row],[Cap.]]&lt;&gt;"",Tabla1[[#This Row],[BASE DE FLETE]]/Tabla1[[#This Row],[Cap.]],"")</f>
        <v/>
      </c>
      <c r="AA24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24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24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24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4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4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4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4" s="21" t="str">
        <f>IF(S24&lt;&gt;"",IF(Tabla1[[#This Row],[EM]]="P/N",S24-(AA24+AO24),IF(Tabla1[[#This Row],[EM]]="N",S24,"")),"")</f>
        <v/>
      </c>
      <c r="AI24" s="21" t="str">
        <f>IF(T24&lt;&gt;"",IF(Tabla1[[#This Row],[EM]]="P/N",VLOOKUP(Tabla1[[#This Row],[Cap.]],Tabulador!$B$3:$L$13,7,FALSE)*Tabla1[[#This Row],[C]]-(AB24+AP24),IF(Tabla1[[#This Row],[EM]]="N",VLOOKUP(Tabla1[[#This Row],[Cap.]],Tabulador!$B$3:$L$13,7,FALSE)*Tabla1[[#This Row],[C]],"")),"")</f>
        <v/>
      </c>
      <c r="AJ24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24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4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4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4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4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24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24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24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4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4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4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4" s="332" t="str">
        <f>IF(Tabla1[[#This Row],[KG CARGA]]&lt;&gt;"",(SUM(Tabla1[[#This Row],[Flete]:[Fin semana10]])/Tabulador!$M$1)/Tabla1[[#This Row],[KG CARGA]],"")</f>
        <v/>
      </c>
      <c r="AW24" s="21" t="str">
        <f>IF(Tabla1[[#This Row],[$/KG]]&lt;&gt;"",Tabulador!$M$1,"")</f>
        <v/>
      </c>
      <c r="AX24" s="371">
        <f>IF(Tabla1[[#This Row],[KGS PASTA]]&gt;0,Tabla1[[#This Row],[KG PASTA]]/Tabla1[[#This Row],[KGS PASTA]],0)</f>
        <v>0</v>
      </c>
      <c r="AY24" s="371">
        <f>IF(Tabla1[[#This Row],[KGS PASTA]]&gt;0,Tabla1[[#This Row],[KG HARINA]]/Tabla1[[#This Row],[KGS PASTA]],0)</f>
        <v>0</v>
      </c>
      <c r="AZ24" s="402"/>
      <c r="BA24" s="402"/>
    </row>
    <row r="25" spans="1:53" ht="18" customHeight="1">
      <c r="A25" s="265">
        <v>51116</v>
      </c>
      <c r="B25" s="266">
        <v>51117</v>
      </c>
      <c r="C25" s="266"/>
      <c r="D25" s="267" t="s">
        <v>433</v>
      </c>
      <c r="E25" s="273" t="s">
        <v>50</v>
      </c>
      <c r="F25" s="269" t="s">
        <v>404</v>
      </c>
      <c r="G25" s="270">
        <v>45632</v>
      </c>
      <c r="H25" s="271"/>
      <c r="I25" s="272">
        <v>6</v>
      </c>
      <c r="J25" s="272">
        <v>11.148</v>
      </c>
      <c r="K25" s="272"/>
      <c r="L25" s="271">
        <v>11.148</v>
      </c>
      <c r="M25" s="274">
        <v>1208.28</v>
      </c>
      <c r="N25" s="369"/>
      <c r="O25" s="369">
        <v>1635.78</v>
      </c>
      <c r="P25" s="278">
        <v>2500</v>
      </c>
      <c r="Q25" s="275">
        <f t="shared" si="1"/>
        <v>10</v>
      </c>
      <c r="R25" s="277" t="s">
        <v>440</v>
      </c>
      <c r="S25" s="20">
        <f>IF(OR(A25&lt;&gt;"",B25&lt;&gt;""),IF(E25&lt;&gt;"",VLOOKUP(E25,Tabulador!$A:$AU,Q25,FALSE),""),"")</f>
        <v>84</v>
      </c>
      <c r="T25" s="276">
        <v>2</v>
      </c>
      <c r="U25" s="276"/>
      <c r="V25" s="276"/>
      <c r="W25" s="276">
        <v>5</v>
      </c>
      <c r="X25" s="276"/>
      <c r="Y25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>P/N</v>
      </c>
      <c r="Z25" s="284">
        <f>IF(Tabla1[[#This Row],[Cap.]]&lt;&gt;"",Tabla1[[#This Row],[BASE DE FLETE]]/Tabla1[[#This Row],[Cap.]],"")</f>
        <v>3.3599999999999998E-2</v>
      </c>
      <c r="AA25" s="21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>40.598208</v>
      </c>
      <c r="AB25" s="127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>14.773135751751457</v>
      </c>
      <c r="AC25" s="126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>22.159703627627184</v>
      </c>
      <c r="AD25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5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5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5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5" s="21">
        <f>IF(S25&lt;&gt;"",IF(Tabla1[[#This Row],[EM]]="P/N",S25-(AA25+AO25),IF(Tabla1[[#This Row],[EM]]="N",S25,"")),"")</f>
        <v>43.401792</v>
      </c>
      <c r="AI25" s="21">
        <f>IF(T25&lt;&gt;"",IF(Tabla1[[#This Row],[EM]]="P/N",VLOOKUP(Tabla1[[#This Row],[Cap.]],Tabulador!$B$3:$L$13,7,FALSE)*Tabla1[[#This Row],[C]]-(AB25+AP25),IF(Tabla1[[#This Row],[EM]]="N",VLOOKUP(Tabla1[[#This Row],[Cap.]],Tabulador!$B$3:$L$13,7,FALSE)*Tabla1[[#This Row],[C]],"")),"")</f>
        <v>5.2268642482485426</v>
      </c>
      <c r="AJ25" s="21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>7.8402963723728156</v>
      </c>
      <c r="AK25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5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5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5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5" s="370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>0</v>
      </c>
      <c r="AP25" s="370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>0</v>
      </c>
      <c r="AQ25" s="370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>0</v>
      </c>
      <c r="AR25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5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5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5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5" s="332">
        <f>IF(Tabla1[[#This Row],[KG CARGA]]&lt;&gt;"",(SUM(Tabla1[[#This Row],[Flete]:[Fin semana10]])/Tabulador!$M$1)/Tabla1[[#This Row],[KG CARGA]],"")</f>
        <v>8.1918106346819258E-2</v>
      </c>
      <c r="AW25" s="21">
        <f>IF(Tabla1[[#This Row],[$/KG]]&lt;&gt;"",Tabulador!$M$1,"")</f>
        <v>1</v>
      </c>
      <c r="AX25" s="371">
        <f>IF(Tabla1[[#This Row],[KGS PASTA]]&gt;0,Tabla1[[#This Row],[KG PASTA]]/Tabla1[[#This Row],[KGS PASTA]],0)</f>
        <v>1</v>
      </c>
      <c r="AY25" s="371">
        <f>IF(Tabla1[[#This Row],[KGS PASTA]]&gt;0,Tabla1[[#This Row],[KG HARINA]]/Tabla1[[#This Row],[KGS PASTA]],0)</f>
        <v>0</v>
      </c>
      <c r="AZ25" s="402">
        <v>1208.28</v>
      </c>
      <c r="BA25" s="402">
        <v>0</v>
      </c>
    </row>
    <row r="26" spans="1:53" ht="18" customHeight="1">
      <c r="A26" s="265"/>
      <c r="B26" s="266"/>
      <c r="C26" s="266"/>
      <c r="D26" s="267" t="s">
        <v>434</v>
      </c>
      <c r="E26" s="273" t="s">
        <v>50</v>
      </c>
      <c r="F26" s="269" t="s">
        <v>404</v>
      </c>
      <c r="G26" s="270">
        <v>45632</v>
      </c>
      <c r="H26" s="271"/>
      <c r="I26" s="272">
        <v>36</v>
      </c>
      <c r="J26" s="272">
        <v>78.240000000000023</v>
      </c>
      <c r="K26" s="272"/>
      <c r="L26" s="271">
        <v>78.240000000000023</v>
      </c>
      <c r="M26" s="274"/>
      <c r="N26" s="369"/>
      <c r="O26" s="369"/>
      <c r="P26" s="278"/>
      <c r="Q26" s="275" t="str">
        <f t="shared" si="1"/>
        <v/>
      </c>
      <c r="R26" s="277"/>
      <c r="S26" s="20" t="str">
        <f>IF(OR(A26&lt;&gt;"",B26&lt;&gt;""),IF(E26&lt;&gt;"",VLOOKUP(E26,Tabulador!$A:$AU,Q26,FALSE),""),"")</f>
        <v/>
      </c>
      <c r="T26" s="276"/>
      <c r="U26" s="276"/>
      <c r="V26" s="276"/>
      <c r="W26" s="276"/>
      <c r="X26" s="276"/>
      <c r="Y26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26" s="284" t="str">
        <f>IF(Tabla1[[#This Row],[Cap.]]&lt;&gt;"",Tabla1[[#This Row],[BASE DE FLETE]]/Tabla1[[#This Row],[Cap.]],"")</f>
        <v/>
      </c>
      <c r="AA26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26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26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26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6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6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6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Row],[Cap.]],Tabulador!$B$3:$L$13,11,FALSE)/P26*Tabla1[[#This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6" s="21" t="str">
        <f>IF(S26&lt;&gt;"",IF(Tabla1[[#This Row],[EM]]="P/N",S26-(AA26+AO26),IF(Tabla1[[#This Row],[EM]]="N",S26,"")),"")</f>
        <v/>
      </c>
      <c r="AI26" s="21" t="str">
        <f>IF(T26&lt;&gt;"",IF(Tabla1[[#This Row],[EM]]="P/N",VLOOKUP(Tabla1[[#This Row],[Cap.]],Tabulador!$B$3:$L$13,7,FALSE)*Tabla1[[#This Row],[C]]-(AB26+AP26),IF(Tabla1[[#This Row],[EM]]="N",VLOOKUP(Tabla1[[#This Row],[Cap.]],Tabulador!$B$3:$L$13,7,FALSE)*Tabla1[[#This Row],[C]],"")),"")</f>
        <v/>
      </c>
      <c r="AJ26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26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6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6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6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6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26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26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26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6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6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6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Row],[Cap.]],Tabulador!$B$3:$L$13,11,FALSE)/P26*Tabla1[[#This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6" s="332" t="str">
        <f>IF(Tabla1[[#This Row],[KG CARGA]]&lt;&gt;"",(SUM(Tabla1[[#This Row],[Flete]:[Fin semana10]])/Tabulador!$M$1)/Tabla1[[#This Row],[KG CARGA]],"")</f>
        <v/>
      </c>
      <c r="AW26" s="21" t="str">
        <f>IF(Tabla1[[#This Row],[$/KG]]&lt;&gt;"",Tabulador!$M$1,"")</f>
        <v/>
      </c>
      <c r="AX26" s="371">
        <f>IF(Tabla1[[#This Row],[KGS PASTA]]&gt;0,Tabla1[[#This Row],[KG PASTA]]/Tabla1[[#This Row],[KGS PASTA]],0)</f>
        <v>0</v>
      </c>
      <c r="AY26" s="371">
        <f>IF(Tabla1[[#This Row],[KGS PASTA]]&gt;0,Tabla1[[#This Row],[KG HARINA]]/Tabla1[[#This Row],[KGS PASTA]],0)</f>
        <v>0</v>
      </c>
      <c r="AZ26" s="402"/>
      <c r="BA26" s="402"/>
    </row>
    <row r="27" spans="1:53" ht="18" customHeight="1">
      <c r="A27" s="265"/>
      <c r="B27" s="266"/>
      <c r="C27" s="266"/>
      <c r="D27" s="267" t="s">
        <v>435</v>
      </c>
      <c r="E27" s="273" t="s">
        <v>50</v>
      </c>
      <c r="F27" s="269" t="s">
        <v>402</v>
      </c>
      <c r="G27" s="270">
        <v>45632</v>
      </c>
      <c r="H27" s="271">
        <v>1208.28</v>
      </c>
      <c r="I27" s="272">
        <v>31</v>
      </c>
      <c r="J27" s="272">
        <v>78.312000000000012</v>
      </c>
      <c r="K27" s="272"/>
      <c r="L27" s="271">
        <v>1286.5920000000001</v>
      </c>
      <c r="M27" s="274"/>
      <c r="N27" s="369"/>
      <c r="O27" s="369"/>
      <c r="P27" s="278"/>
      <c r="Q27" s="275" t="str">
        <f t="shared" si="1"/>
        <v/>
      </c>
      <c r="R27" s="277"/>
      <c r="S27" s="20" t="str">
        <f>IF(OR(A27&lt;&gt;"",B27&lt;&gt;""),IF(E27&lt;&gt;"",VLOOKUP(E27,Tabulador!$A:$AU,Q27,FALSE),""),"")</f>
        <v/>
      </c>
      <c r="T27" s="276"/>
      <c r="U27" s="276"/>
      <c r="V27" s="276"/>
      <c r="W27" s="276"/>
      <c r="X27" s="276"/>
      <c r="Y27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27" s="284" t="str">
        <f>IF(Tabla1[[#This Row],[Cap.]]&lt;&gt;"",Tabla1[[#This Row],[BASE DE FLETE]]/Tabla1[[#This Row],[Cap.]],"")</f>
        <v/>
      </c>
      <c r="AA27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27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27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27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7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7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7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Row],[Cap.]],Tabulador!$B$3:$L$13,11,FALSE)/P27*Tabla1[[#This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7" s="21" t="str">
        <f>IF(S27&lt;&gt;"",IF(Tabla1[[#This Row],[EM]]="P/N",S27-(AA27+AO27),IF(Tabla1[[#This Row],[EM]]="N",S27,"")),"")</f>
        <v/>
      </c>
      <c r="AI27" s="21" t="str">
        <f>IF(T27&lt;&gt;"",IF(Tabla1[[#This Row],[EM]]="P/N",VLOOKUP(Tabla1[[#This Row],[Cap.]],Tabulador!$B$3:$L$13,7,FALSE)*Tabla1[[#This Row],[C]]-(AB27+AP27),IF(Tabla1[[#This Row],[EM]]="N",VLOOKUP(Tabla1[[#This Row],[Cap.]],Tabulador!$B$3:$L$13,7,FALSE)*Tabla1[[#This Row],[C]],"")),"")</f>
        <v/>
      </c>
      <c r="AJ27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27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7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7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7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7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27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27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27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7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7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7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Row],[Cap.]],Tabulador!$B$3:$L$13,11,FALSE)/P27*Tabla1[[#This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7" s="332" t="str">
        <f>IF(Tabla1[[#This Row],[KG CARGA]]&lt;&gt;"",(SUM(Tabla1[[#This Row],[Flete]:[Fin semana10]])/Tabulador!$M$1)/Tabla1[[#This Row],[KG CARGA]],"")</f>
        <v/>
      </c>
      <c r="AW27" s="21" t="str">
        <f>IF(Tabla1[[#This Row],[$/KG]]&lt;&gt;"",Tabulador!$M$1,"")</f>
        <v/>
      </c>
      <c r="AX27" s="371">
        <f>IF(Tabla1[[#This Row],[KGS PASTA]]&gt;0,Tabla1[[#This Row],[KG PASTA]]/Tabla1[[#This Row],[KGS PASTA]],0)</f>
        <v>0</v>
      </c>
      <c r="AY27" s="371">
        <f>IF(Tabla1[[#This Row],[KGS PASTA]]&gt;0,Tabla1[[#This Row],[KG HARINA]]/Tabla1[[#This Row],[KGS PASTA]],0)</f>
        <v>0</v>
      </c>
      <c r="AZ27" s="402"/>
      <c r="BA27" s="402"/>
    </row>
    <row r="28" spans="1:53" ht="18" customHeight="1">
      <c r="A28" s="265"/>
      <c r="B28" s="266"/>
      <c r="C28" s="266"/>
      <c r="D28" s="267" t="s">
        <v>436</v>
      </c>
      <c r="E28" s="273" t="s">
        <v>50</v>
      </c>
      <c r="F28" s="269" t="s">
        <v>404</v>
      </c>
      <c r="G28" s="270">
        <v>45632</v>
      </c>
      <c r="H28" s="271"/>
      <c r="I28" s="272">
        <v>65</v>
      </c>
      <c r="J28" s="272">
        <v>141.84</v>
      </c>
      <c r="K28" s="272"/>
      <c r="L28" s="271">
        <v>141.84</v>
      </c>
      <c r="M28" s="274"/>
      <c r="N28" s="369"/>
      <c r="O28" s="369"/>
      <c r="P28" s="278"/>
      <c r="Q28" s="275" t="str">
        <f t="shared" si="1"/>
        <v/>
      </c>
      <c r="R28" s="277"/>
      <c r="S28" s="20" t="str">
        <f>IF(OR(A28&lt;&gt;"",B28&lt;&gt;""),IF(E28&lt;&gt;"",VLOOKUP(E28,Tabulador!$A:$AU,Q28,FALSE),""),"")</f>
        <v/>
      </c>
      <c r="T28" s="276"/>
      <c r="U28" s="276"/>
      <c r="V28" s="276"/>
      <c r="W28" s="276"/>
      <c r="X28" s="276"/>
      <c r="Y28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28" s="284" t="str">
        <f>IF(Tabla1[[#This Row],[Cap.]]&lt;&gt;"",Tabla1[[#This Row],[BASE DE FLETE]]/Tabla1[[#This Row],[Cap.]],"")</f>
        <v/>
      </c>
      <c r="AA28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28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28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28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8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8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8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Row],[Cap.]],Tabulador!$B$3:$L$13,11,FALSE)/P28*Tabla1[[#This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8" s="21" t="str">
        <f>IF(S28&lt;&gt;"",IF(Tabla1[[#This Row],[EM]]="P/N",S28-(AA28+AO28),IF(Tabla1[[#This Row],[EM]]="N",S28,"")),"")</f>
        <v/>
      </c>
      <c r="AI28" s="21" t="str">
        <f>IF(T28&lt;&gt;"",IF(Tabla1[[#This Row],[EM]]="P/N",VLOOKUP(Tabla1[[#This Row],[Cap.]],Tabulador!$B$3:$L$13,7,FALSE)*Tabla1[[#This Row],[C]]-(AB28+AP28),IF(Tabla1[[#This Row],[EM]]="N",VLOOKUP(Tabla1[[#This Row],[Cap.]],Tabulador!$B$3:$L$13,7,FALSE)*Tabla1[[#This Row],[C]],"")),"")</f>
        <v/>
      </c>
      <c r="AJ28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28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8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8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8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8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28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28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28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8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8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8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Row],[Cap.]],Tabulador!$B$3:$L$13,11,FALSE)/P28*Tabla1[[#This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8" s="332" t="str">
        <f>IF(Tabla1[[#This Row],[KG CARGA]]&lt;&gt;"",(SUM(Tabla1[[#This Row],[Flete]:[Fin semana10]])/Tabulador!$M$1)/Tabla1[[#This Row],[KG CARGA]],"")</f>
        <v/>
      </c>
      <c r="AW28" s="21" t="str">
        <f>IF(Tabla1[[#This Row],[$/KG]]&lt;&gt;"",Tabulador!$M$1,"")</f>
        <v/>
      </c>
      <c r="AX28" s="371">
        <f>IF(Tabla1[[#This Row],[KGS PASTA]]&gt;0,Tabla1[[#This Row],[KG PASTA]]/Tabla1[[#This Row],[KGS PASTA]],0)</f>
        <v>0</v>
      </c>
      <c r="AY28" s="371">
        <f>IF(Tabla1[[#This Row],[KGS PASTA]]&gt;0,Tabla1[[#This Row],[KG HARINA]]/Tabla1[[#This Row],[KGS PASTA]],0)</f>
        <v>0</v>
      </c>
      <c r="AZ28" s="402"/>
      <c r="BA28" s="402"/>
    </row>
    <row r="29" spans="1:53" ht="18" customHeight="1">
      <c r="A29" s="265"/>
      <c r="B29" s="266"/>
      <c r="C29" s="266"/>
      <c r="D29" s="267" t="s">
        <v>437</v>
      </c>
      <c r="E29" s="273" t="s">
        <v>50</v>
      </c>
      <c r="F29" s="269" t="s">
        <v>404</v>
      </c>
      <c r="G29" s="270">
        <v>45632</v>
      </c>
      <c r="H29" s="271"/>
      <c r="I29" s="272">
        <v>53</v>
      </c>
      <c r="J29" s="272">
        <v>112.92</v>
      </c>
      <c r="K29" s="272"/>
      <c r="L29" s="271">
        <v>112.92</v>
      </c>
      <c r="M29" s="274"/>
      <c r="N29" s="369"/>
      <c r="O29" s="369"/>
      <c r="P29" s="278"/>
      <c r="Q29" s="275" t="str">
        <f t="shared" si="1"/>
        <v/>
      </c>
      <c r="R29" s="277"/>
      <c r="S29" s="20" t="str">
        <f>IF(OR(A29&lt;&gt;"",B29&lt;&gt;""),IF(E29&lt;&gt;"",VLOOKUP(E29,Tabulador!$A:$AU,Q29,FALSE),""),"")</f>
        <v/>
      </c>
      <c r="T29" s="276"/>
      <c r="U29" s="276"/>
      <c r="V29" s="276"/>
      <c r="W29" s="276"/>
      <c r="X29" s="276"/>
      <c r="Y29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29" s="284" t="str">
        <f>IF(Tabla1[[#This Row],[Cap.]]&lt;&gt;"",Tabla1[[#This Row],[BASE DE FLETE]]/Tabla1[[#This Row],[Cap.]],"")</f>
        <v/>
      </c>
      <c r="AA29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29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29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29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29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29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29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Row],[Cap.]],Tabulador!$B$3:$L$13,11,FALSE)/P29*Tabla1[[#This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29" s="21" t="str">
        <f>IF(S29&lt;&gt;"",IF(Tabla1[[#This Row],[EM]]="P/N",S29-(AA29+AO29),IF(Tabla1[[#This Row],[EM]]="N",S29,"")),"")</f>
        <v/>
      </c>
      <c r="AI29" s="21" t="str">
        <f>IF(T29&lt;&gt;"",IF(Tabla1[[#This Row],[EM]]="P/N",VLOOKUP(Tabla1[[#This Row],[Cap.]],Tabulador!$B$3:$L$13,7,FALSE)*Tabla1[[#This Row],[C]]-(AB29+AP29),IF(Tabla1[[#This Row],[EM]]="N",VLOOKUP(Tabla1[[#This Row],[Cap.]],Tabulador!$B$3:$L$13,7,FALSE)*Tabla1[[#This Row],[C]],"")),"")</f>
        <v/>
      </c>
      <c r="AJ29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29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29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29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29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29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29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29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29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29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29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29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Row],[Cap.]],Tabulador!$B$3:$L$13,11,FALSE)/P29*Tabla1[[#This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29" s="332" t="str">
        <f>IF(Tabla1[[#This Row],[KG CARGA]]&lt;&gt;"",(SUM(Tabla1[[#This Row],[Flete]:[Fin semana10]])/Tabulador!$M$1)/Tabla1[[#This Row],[KG CARGA]],"")</f>
        <v/>
      </c>
      <c r="AW29" s="21" t="str">
        <f>IF(Tabla1[[#This Row],[$/KG]]&lt;&gt;"",Tabulador!$M$1,"")</f>
        <v/>
      </c>
      <c r="AX29" s="371">
        <f>IF(Tabla1[[#This Row],[KGS PASTA]]&gt;0,Tabla1[[#This Row],[KG PASTA]]/Tabla1[[#This Row],[KGS PASTA]],0)</f>
        <v>0</v>
      </c>
      <c r="AY29" s="371">
        <f>IF(Tabla1[[#This Row],[KGS PASTA]]&gt;0,Tabla1[[#This Row],[KG HARINA]]/Tabla1[[#This Row],[KGS PASTA]],0)</f>
        <v>0</v>
      </c>
      <c r="AZ29" s="402"/>
      <c r="BA29" s="402"/>
    </row>
    <row r="30" spans="1:53" ht="18" customHeight="1">
      <c r="A30" s="265"/>
      <c r="B30" s="266"/>
      <c r="C30" s="266"/>
      <c r="D30" s="267" t="s">
        <v>438</v>
      </c>
      <c r="E30" s="273" t="s">
        <v>50</v>
      </c>
      <c r="F30" s="269" t="s">
        <v>404</v>
      </c>
      <c r="G30" s="270">
        <v>45632</v>
      </c>
      <c r="H30" s="271"/>
      <c r="I30" s="272">
        <v>2</v>
      </c>
      <c r="J30" s="272">
        <v>5.04</v>
      </c>
      <c r="K30" s="272"/>
      <c r="L30" s="271">
        <v>5.04</v>
      </c>
      <c r="M30" s="274"/>
      <c r="N30" s="369"/>
      <c r="O30" s="369"/>
      <c r="P30" s="278"/>
      <c r="Q30" s="275" t="str">
        <f t="shared" si="1"/>
        <v/>
      </c>
      <c r="R30" s="277"/>
      <c r="S30" s="20" t="str">
        <f>IF(OR(A30&lt;&gt;"",B30&lt;&gt;""),IF(E30&lt;&gt;"",VLOOKUP(E30,Tabulador!$A:$AU,Q30,FALSE),""),"")</f>
        <v/>
      </c>
      <c r="T30" s="276"/>
      <c r="U30" s="276"/>
      <c r="V30" s="276"/>
      <c r="W30" s="276"/>
      <c r="X30" s="276"/>
      <c r="Y30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0" s="284" t="str">
        <f>IF(Tabla1[[#This Row],[Cap.]]&lt;&gt;"",Tabla1[[#This Row],[BASE DE FLETE]]/Tabla1[[#This Row],[Cap.]],"")</f>
        <v/>
      </c>
      <c r="AA30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0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0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0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0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0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0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Row],[Cap.]],Tabulador!$B$3:$L$13,11,FALSE)/P30*Tabla1[[#This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0" s="21" t="str">
        <f>IF(S30&lt;&gt;"",IF(Tabla1[[#This Row],[EM]]="P/N",S30-(AA30+AO30),IF(Tabla1[[#This Row],[EM]]="N",S30,"")),"")</f>
        <v/>
      </c>
      <c r="AI30" s="21" t="str">
        <f>IF(T30&lt;&gt;"",IF(Tabla1[[#This Row],[EM]]="P/N",VLOOKUP(Tabla1[[#This Row],[Cap.]],Tabulador!$B$3:$L$13,7,FALSE)*Tabla1[[#This Row],[C]]-(AB30+AP30),IF(Tabla1[[#This Row],[EM]]="N",VLOOKUP(Tabla1[[#This Row],[Cap.]],Tabulador!$B$3:$L$13,7,FALSE)*Tabla1[[#This Row],[C]],"")),"")</f>
        <v/>
      </c>
      <c r="AJ30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0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0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0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0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0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0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0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0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0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0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0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Row],[Cap.]],Tabulador!$B$3:$L$13,11,FALSE)/P30*Tabla1[[#This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0" s="332" t="str">
        <f>IF(Tabla1[[#This Row],[KG CARGA]]&lt;&gt;"",(SUM(Tabla1[[#This Row],[Flete]:[Fin semana10]])/Tabulador!$M$1)/Tabla1[[#This Row],[KG CARGA]],"")</f>
        <v/>
      </c>
      <c r="AW30" s="21" t="str">
        <f>IF(Tabla1[[#This Row],[$/KG]]&lt;&gt;"",Tabulador!$M$1,"")</f>
        <v/>
      </c>
      <c r="AX30" s="371">
        <f>IF(Tabla1[[#This Row],[KGS PASTA]]&gt;0,Tabla1[[#This Row],[KG PASTA]]/Tabla1[[#This Row],[KGS PASTA]],0)</f>
        <v>0</v>
      </c>
      <c r="AY30" s="371">
        <f>IF(Tabla1[[#This Row],[KGS PASTA]]&gt;0,Tabla1[[#This Row],[KG HARINA]]/Tabla1[[#This Row],[KGS PASTA]],0)</f>
        <v>0</v>
      </c>
      <c r="AZ30" s="402"/>
      <c r="BA30" s="402"/>
    </row>
    <row r="31" spans="1:53" ht="18" customHeight="1">
      <c r="A31" s="265"/>
      <c r="B31" s="266"/>
      <c r="C31" s="266"/>
      <c r="D31" s="267"/>
      <c r="E31" s="273"/>
      <c r="F31" s="269"/>
      <c r="G31" s="270"/>
      <c r="H31" s="271"/>
      <c r="I31" s="272"/>
      <c r="J31" s="272"/>
      <c r="K31" s="272"/>
      <c r="L31" s="271"/>
      <c r="M31" s="274"/>
      <c r="N31" s="369"/>
      <c r="O31" s="369"/>
      <c r="P31" s="278"/>
      <c r="Q31" s="275" t="str">
        <f t="shared" si="1"/>
        <v/>
      </c>
      <c r="R31" s="277"/>
      <c r="S31" s="20" t="str">
        <f>IF(OR(A31&lt;&gt;"",B31&lt;&gt;""),IF(E31&lt;&gt;"",VLOOKUP(E31,Tabulador!$A:$AU,Q31,FALSE),""),"")</f>
        <v/>
      </c>
      <c r="T31" s="276"/>
      <c r="U31" s="276"/>
      <c r="V31" s="276"/>
      <c r="W31" s="276"/>
      <c r="X31" s="276"/>
      <c r="Y31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1" s="284" t="str">
        <f>IF(Tabla1[[#This Row],[Cap.]]&lt;&gt;"",Tabla1[[#This Row],[BASE DE FLETE]]/Tabla1[[#This Row],[Cap.]],"")</f>
        <v/>
      </c>
      <c r="AA31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1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1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1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1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1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1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Row],[Cap.]],Tabulador!$B$3:$L$13,11,FALSE)/P31*Tabla1[[#This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1" s="21" t="str">
        <f>IF(S31&lt;&gt;"",IF(Tabla1[[#This Row],[EM]]="P/N",S31-(AA31+AO31),IF(Tabla1[[#This Row],[EM]]="N",S31,"")),"")</f>
        <v/>
      </c>
      <c r="AI31" s="21" t="str">
        <f>IF(T31&lt;&gt;"",IF(Tabla1[[#This Row],[EM]]="P/N",VLOOKUP(Tabla1[[#This Row],[Cap.]],Tabulador!$B$3:$L$13,7,FALSE)*Tabla1[[#This Row],[C]]-(AB31+AP31),IF(Tabla1[[#This Row],[EM]]="N",VLOOKUP(Tabla1[[#This Row],[Cap.]],Tabulador!$B$3:$L$13,7,FALSE)*Tabla1[[#This Row],[C]],"")),"")</f>
        <v/>
      </c>
      <c r="AJ31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1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1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1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1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1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1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1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1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1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1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1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Row],[Cap.]],Tabulador!$B$3:$L$13,11,FALSE)/P31*Tabla1[[#This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1" s="332" t="str">
        <f>IF(Tabla1[[#This Row],[KG CARGA]]&lt;&gt;"",(SUM(Tabla1[[#This Row],[Flete]:[Fin semana10]])/Tabulador!$M$1)/Tabla1[[#This Row],[KG CARGA]],"")</f>
        <v/>
      </c>
      <c r="AW31" s="21" t="str">
        <f>IF(Tabla1[[#This Row],[$/KG]]&lt;&gt;"",Tabulador!$M$1,"")</f>
        <v/>
      </c>
      <c r="AX31" s="371">
        <f>IF(Tabla1[[#This Row],[KGS PASTA]]&gt;0,Tabla1[[#This Row],[KG PASTA]]/Tabla1[[#This Row],[KGS PASTA]],0)</f>
        <v>0</v>
      </c>
      <c r="AY31" s="371">
        <f>IF(Tabla1[[#This Row],[KGS PASTA]]&gt;0,Tabla1[[#This Row],[KG HARINA]]/Tabla1[[#This Row],[KGS PASTA]],0)</f>
        <v>0</v>
      </c>
      <c r="AZ31" s="402"/>
      <c r="BA31" s="402"/>
    </row>
    <row r="32" spans="1:53" ht="18" customHeight="1">
      <c r="A32" s="265"/>
      <c r="B32" s="266"/>
      <c r="C32" s="266"/>
      <c r="D32" s="267"/>
      <c r="E32" s="273"/>
      <c r="F32" s="269"/>
      <c r="G32" s="270"/>
      <c r="H32" s="271"/>
      <c r="I32" s="272"/>
      <c r="J32" s="272"/>
      <c r="K32" s="272"/>
      <c r="L32" s="271"/>
      <c r="M32" s="274"/>
      <c r="N32" s="369"/>
      <c r="O32" s="369"/>
      <c r="P32" s="278"/>
      <c r="Q32" s="275" t="str">
        <f t="shared" si="1"/>
        <v/>
      </c>
      <c r="R32" s="277"/>
      <c r="S32" s="20" t="str">
        <f>IF(OR(A32&lt;&gt;"",B32&lt;&gt;""),IF(E32&lt;&gt;"",VLOOKUP(E32,Tabulador!$A:$AU,Q32,FALSE),""),"")</f>
        <v/>
      </c>
      <c r="T32" s="276"/>
      <c r="U32" s="276"/>
      <c r="V32" s="276"/>
      <c r="W32" s="276"/>
      <c r="X32" s="276"/>
      <c r="Y32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2" s="284" t="str">
        <f>IF(Tabla1[[#This Row],[Cap.]]&lt;&gt;"",Tabla1[[#This Row],[BASE DE FLETE]]/Tabla1[[#This Row],[Cap.]],"")</f>
        <v/>
      </c>
      <c r="AA32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2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2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2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2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2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2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Row],[Cap.]],Tabulador!$B$3:$L$13,11,FALSE)/P32*Tabla1[[#This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2" s="21" t="str">
        <f>IF(S32&lt;&gt;"",IF(Tabla1[[#This Row],[EM]]="P/N",S32-(AA32+AO32),IF(Tabla1[[#This Row],[EM]]="N",S32,"")),"")</f>
        <v/>
      </c>
      <c r="AI32" s="21" t="str">
        <f>IF(T32&lt;&gt;"",IF(Tabla1[[#This Row],[EM]]="P/N",VLOOKUP(Tabla1[[#This Row],[Cap.]],Tabulador!$B$3:$L$13,7,FALSE)*Tabla1[[#This Row],[C]]-(AB32+AP32),IF(Tabla1[[#This Row],[EM]]="N",VLOOKUP(Tabla1[[#This Row],[Cap.]],Tabulador!$B$3:$L$13,7,FALSE)*Tabla1[[#This Row],[C]],"")),"")</f>
        <v/>
      </c>
      <c r="AJ32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2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2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2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2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2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2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2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2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2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2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2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Row],[Cap.]],Tabulador!$B$3:$L$13,11,FALSE)/P32*Tabla1[[#This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2" s="332" t="str">
        <f>IF(Tabla1[[#This Row],[KG CARGA]]&lt;&gt;"",(SUM(Tabla1[[#This Row],[Flete]:[Fin semana10]])/Tabulador!$M$1)/Tabla1[[#This Row],[KG CARGA]],"")</f>
        <v/>
      </c>
      <c r="AW32" s="21" t="str">
        <f>IF(Tabla1[[#This Row],[$/KG]]&lt;&gt;"",Tabulador!$M$1,"")</f>
        <v/>
      </c>
      <c r="AX32" s="371">
        <f>IF(Tabla1[[#This Row],[KGS PASTA]]&gt;0,Tabla1[[#This Row],[KG PASTA]]/Tabla1[[#This Row],[KGS PASTA]],0)</f>
        <v>0</v>
      </c>
      <c r="AY32" s="371">
        <f>IF(Tabla1[[#This Row],[KGS PASTA]]&gt;0,Tabla1[[#This Row],[KG HARINA]]/Tabla1[[#This Row],[KGS PASTA]],0)</f>
        <v>0</v>
      </c>
      <c r="AZ32" s="402"/>
      <c r="BA32" s="402"/>
    </row>
    <row r="33" spans="1:53" ht="18" customHeight="1">
      <c r="A33" s="265"/>
      <c r="B33" s="266"/>
      <c r="C33" s="266"/>
      <c r="D33" s="267"/>
      <c r="E33" s="273"/>
      <c r="F33" s="269"/>
      <c r="G33" s="270"/>
      <c r="H33" s="271"/>
      <c r="I33" s="272"/>
      <c r="J33" s="272"/>
      <c r="K33" s="272"/>
      <c r="L33" s="271"/>
      <c r="M33" s="274"/>
      <c r="N33" s="369"/>
      <c r="O33" s="369"/>
      <c r="P33" s="278"/>
      <c r="Q33" s="275" t="str">
        <f t="shared" si="1"/>
        <v/>
      </c>
      <c r="R33" s="277"/>
      <c r="S33" s="20" t="str">
        <f>IF(OR(A33&lt;&gt;"",B33&lt;&gt;""),IF(E33&lt;&gt;"",VLOOKUP(E33,Tabulador!$A:$AU,Q33,FALSE),""),"")</f>
        <v/>
      </c>
      <c r="T33" s="276"/>
      <c r="U33" s="276"/>
      <c r="V33" s="276"/>
      <c r="W33" s="276"/>
      <c r="X33" s="276"/>
      <c r="Y33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3" s="284" t="str">
        <f>IF(Tabla1[[#This Row],[Cap.]]&lt;&gt;"",Tabla1[[#This Row],[BASE DE FLETE]]/Tabla1[[#This Row],[Cap.]],"")</f>
        <v/>
      </c>
      <c r="AA33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3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3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3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3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3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3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Row],[Cap.]],Tabulador!$B$3:$L$13,11,FALSE)/P33*Tabla1[[#This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3" s="21" t="str">
        <f>IF(S33&lt;&gt;"",IF(Tabla1[[#This Row],[EM]]="P/N",S33-(AA33+AO33),IF(Tabla1[[#This Row],[EM]]="N",S33,"")),"")</f>
        <v/>
      </c>
      <c r="AI33" s="21" t="str">
        <f>IF(T33&lt;&gt;"",IF(Tabla1[[#This Row],[EM]]="P/N",VLOOKUP(Tabla1[[#This Row],[Cap.]],Tabulador!$B$3:$L$13,7,FALSE)*Tabla1[[#This Row],[C]]-(AB33+AP33),IF(Tabla1[[#This Row],[EM]]="N",VLOOKUP(Tabla1[[#This Row],[Cap.]],Tabulador!$B$3:$L$13,7,FALSE)*Tabla1[[#This Row],[C]],"")),"")</f>
        <v/>
      </c>
      <c r="AJ33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3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3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3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3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3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3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3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3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3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3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3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Row],[Cap.]],Tabulador!$B$3:$L$13,11,FALSE)/P33*Tabla1[[#This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3" s="332" t="str">
        <f>IF(Tabla1[[#This Row],[KG CARGA]]&lt;&gt;"",(SUM(Tabla1[[#This Row],[Flete]:[Fin semana10]])/Tabulador!$M$1)/Tabla1[[#This Row],[KG CARGA]],"")</f>
        <v/>
      </c>
      <c r="AW33" s="21" t="str">
        <f>IF(Tabla1[[#This Row],[$/KG]]&lt;&gt;"",Tabulador!$M$1,"")</f>
        <v/>
      </c>
      <c r="AX33" s="371">
        <f>IF(Tabla1[[#This Row],[KGS PASTA]]&gt;0,Tabla1[[#This Row],[KG PASTA]]/Tabla1[[#This Row],[KGS PASTA]],0)</f>
        <v>0</v>
      </c>
      <c r="AY33" s="371">
        <f>IF(Tabla1[[#This Row],[KGS PASTA]]&gt;0,Tabla1[[#This Row],[KG HARINA]]/Tabla1[[#This Row],[KGS PASTA]],0)</f>
        <v>0</v>
      </c>
      <c r="AZ33" s="402"/>
      <c r="BA33" s="402"/>
    </row>
    <row r="34" spans="1:53" ht="18" customHeight="1">
      <c r="A34" s="265"/>
      <c r="B34" s="266"/>
      <c r="C34" s="266"/>
      <c r="D34" s="267"/>
      <c r="E34" s="273"/>
      <c r="F34" s="269"/>
      <c r="G34" s="270"/>
      <c r="H34" s="271"/>
      <c r="I34" s="272"/>
      <c r="J34" s="272"/>
      <c r="K34" s="272"/>
      <c r="L34" s="271"/>
      <c r="M34" s="274"/>
      <c r="N34" s="369"/>
      <c r="O34" s="369"/>
      <c r="P34" s="278"/>
      <c r="Q34" s="275" t="str">
        <f t="shared" si="1"/>
        <v/>
      </c>
      <c r="R34" s="277"/>
      <c r="S34" s="20" t="str">
        <f>IF(OR(A34&lt;&gt;"",B34&lt;&gt;""),IF(E34&lt;&gt;"",VLOOKUP(E34,Tabulador!$A:$AU,Q34,FALSE),""),"")</f>
        <v/>
      </c>
      <c r="T34" s="276"/>
      <c r="U34" s="276"/>
      <c r="V34" s="276"/>
      <c r="W34" s="276"/>
      <c r="X34" s="276"/>
      <c r="Y34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4" s="284" t="str">
        <f>IF(Tabla1[[#This Row],[Cap.]]&lt;&gt;"",Tabla1[[#This Row],[BASE DE FLETE]]/Tabla1[[#This Row],[Cap.]],"")</f>
        <v/>
      </c>
      <c r="AA34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4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4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4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4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4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4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4" s="21" t="str">
        <f>IF(S34&lt;&gt;"",IF(Tabla1[[#This Row],[EM]]="P/N",S34-(AA34+AO34),IF(Tabla1[[#This Row],[EM]]="N",S34,"")),"")</f>
        <v/>
      </c>
      <c r="AI34" s="21" t="str">
        <f>IF(T34&lt;&gt;"",IF(Tabla1[[#This Row],[EM]]="P/N",VLOOKUP(Tabla1[[#This Row],[Cap.]],Tabulador!$B$3:$L$13,7,FALSE)*Tabla1[[#This Row],[C]]-(AB34+AP34),IF(Tabla1[[#This Row],[EM]]="N",VLOOKUP(Tabla1[[#This Row],[Cap.]],Tabulador!$B$3:$L$13,7,FALSE)*Tabla1[[#This Row],[C]],"")),"")</f>
        <v/>
      </c>
      <c r="AJ34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4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4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4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4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4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4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4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4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4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4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4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4" s="332" t="str">
        <f>IF(Tabla1[[#This Row],[KG CARGA]]&lt;&gt;"",(SUM(Tabla1[[#This Row],[Flete]:[Fin semana10]])/Tabulador!$M$1)/Tabla1[[#This Row],[KG CARGA]],"")</f>
        <v/>
      </c>
      <c r="AW34" s="21" t="str">
        <f>IF(Tabla1[[#This Row],[$/KG]]&lt;&gt;"",Tabulador!$M$1,"")</f>
        <v/>
      </c>
      <c r="AX34" s="371">
        <f>IF(Tabla1[[#This Row],[KGS PASTA]]&gt;0,Tabla1[[#This Row],[KG PASTA]]/Tabla1[[#This Row],[KGS PASTA]],0)</f>
        <v>0</v>
      </c>
      <c r="AY34" s="371">
        <f>IF(Tabla1[[#This Row],[KGS PASTA]]&gt;0,Tabla1[[#This Row],[KG HARINA]]/Tabla1[[#This Row],[KGS PASTA]],0)</f>
        <v>0</v>
      </c>
      <c r="AZ34" s="402"/>
      <c r="BA34" s="402"/>
    </row>
    <row r="35" spans="1:53" ht="18" customHeight="1">
      <c r="A35" s="265"/>
      <c r="B35" s="266"/>
      <c r="C35" s="266"/>
      <c r="D35" s="267"/>
      <c r="E35" s="273"/>
      <c r="F35" s="269"/>
      <c r="G35" s="270"/>
      <c r="H35" s="271"/>
      <c r="I35" s="272"/>
      <c r="J35" s="272"/>
      <c r="K35" s="272"/>
      <c r="L35" s="271"/>
      <c r="M35" s="274"/>
      <c r="N35" s="369"/>
      <c r="O35" s="369"/>
      <c r="P35" s="278"/>
      <c r="Q35" s="275" t="str">
        <f t="shared" si="1"/>
        <v/>
      </c>
      <c r="R35" s="277"/>
      <c r="S35" s="20" t="str">
        <f>IF(OR(A35&lt;&gt;"",B35&lt;&gt;""),IF(E35&lt;&gt;"",VLOOKUP(E35,Tabulador!$A:$AU,Q35,FALSE),""),"")</f>
        <v/>
      </c>
      <c r="T35" s="276"/>
      <c r="U35" s="276"/>
      <c r="V35" s="276"/>
      <c r="W35" s="276"/>
      <c r="X35" s="276"/>
      <c r="Y35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5" s="284" t="str">
        <f>IF(Tabla1[[#This Row],[Cap.]]&lt;&gt;"",Tabla1[[#This Row],[BASE DE FLETE]]/Tabla1[[#This Row],[Cap.]],"")</f>
        <v/>
      </c>
      <c r="AA35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5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5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5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5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5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5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5" s="21" t="str">
        <f>IF(S35&lt;&gt;"",IF(Tabla1[[#This Row],[EM]]="P/N",S35-(AA35+AO35),IF(Tabla1[[#This Row],[EM]]="N",S35,"")),"")</f>
        <v/>
      </c>
      <c r="AI35" s="21" t="str">
        <f>IF(T35&lt;&gt;"",IF(Tabla1[[#This Row],[EM]]="P/N",VLOOKUP(Tabla1[[#This Row],[Cap.]],Tabulador!$B$3:$L$13,7,FALSE)*Tabla1[[#This Row],[C]]-(AB35+AP35),IF(Tabla1[[#This Row],[EM]]="N",VLOOKUP(Tabla1[[#This Row],[Cap.]],Tabulador!$B$3:$L$13,7,FALSE)*Tabla1[[#This Row],[C]],"")),"")</f>
        <v/>
      </c>
      <c r="AJ35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5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5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5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5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5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5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5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5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5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5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5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5" s="332" t="str">
        <f>IF(Tabla1[[#This Row],[KG CARGA]]&lt;&gt;"",(SUM(Tabla1[[#This Row],[Flete]:[Fin semana10]])/Tabulador!$M$1)/Tabla1[[#This Row],[KG CARGA]],"")</f>
        <v/>
      </c>
      <c r="AW35" s="21" t="str">
        <f>IF(Tabla1[[#This Row],[$/KG]]&lt;&gt;"",Tabulador!$M$1,"")</f>
        <v/>
      </c>
      <c r="AX35" s="371">
        <f>IF(Tabla1[[#This Row],[KGS PASTA]]&gt;0,Tabla1[[#This Row],[KG PASTA]]/Tabla1[[#This Row],[KGS PASTA]],0)</f>
        <v>0</v>
      </c>
      <c r="AY35" s="371">
        <f>IF(Tabla1[[#This Row],[KGS PASTA]]&gt;0,Tabla1[[#This Row],[KG HARINA]]/Tabla1[[#This Row],[KGS PASTA]],0)</f>
        <v>0</v>
      </c>
      <c r="AZ35" s="402"/>
      <c r="BA35" s="402"/>
    </row>
    <row r="36" spans="1:53" ht="18" customHeight="1">
      <c r="A36" s="265"/>
      <c r="B36" s="266"/>
      <c r="C36" s="266"/>
      <c r="D36" s="267"/>
      <c r="E36" s="273"/>
      <c r="F36" s="269"/>
      <c r="G36" s="270"/>
      <c r="H36" s="271"/>
      <c r="I36" s="272"/>
      <c r="J36" s="272"/>
      <c r="K36" s="272"/>
      <c r="L36" s="271"/>
      <c r="M36" s="274"/>
      <c r="N36" s="369"/>
      <c r="O36" s="369"/>
      <c r="P36" s="278"/>
      <c r="Q36" s="275" t="str">
        <f t="shared" si="0"/>
        <v/>
      </c>
      <c r="R36" s="277"/>
      <c r="S36" s="20" t="str">
        <f>IF(OR(A36&lt;&gt;"",B36&lt;&gt;""),IF(E36&lt;&gt;"",VLOOKUP(E36,Tabulador!$A:$AU,Q36,FALSE),""),"")</f>
        <v/>
      </c>
      <c r="T36" s="276"/>
      <c r="U36" s="276"/>
      <c r="V36" s="276"/>
      <c r="W36" s="276"/>
      <c r="X36" s="276"/>
      <c r="Y36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6" s="284" t="str">
        <f>IF(Tabla1[[#This Row],[Cap.]]&lt;&gt;"",Tabla1[[#This Row],[BASE DE FLETE]]/Tabla1[[#This Row],[Cap.]],"")</f>
        <v/>
      </c>
      <c r="AA36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6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6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6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6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6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6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Row],[Cap.]],Tabulador!$B$3:$L$13,11,FALSE)/P36*Tabla1[[#This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6" s="21" t="str">
        <f>IF(S36&lt;&gt;"",IF(Tabla1[[#This Row],[EM]]="P/N",S36-(AA36+AO36),IF(Tabla1[[#This Row],[EM]]="N",S36,"")),"")</f>
        <v/>
      </c>
      <c r="AI36" s="21" t="str">
        <f>IF(T36&lt;&gt;"",IF(Tabla1[[#This Row],[EM]]="P/N",VLOOKUP(Tabla1[[#This Row],[Cap.]],Tabulador!$B$3:$L$13,7,FALSE)*Tabla1[[#This Row],[C]]-(AB36+AP36),IF(Tabla1[[#This Row],[EM]]="N",VLOOKUP(Tabla1[[#This Row],[Cap.]],Tabulador!$B$3:$L$13,7,FALSE)*Tabla1[[#This Row],[C]],"")),"")</f>
        <v/>
      </c>
      <c r="AJ36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6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6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6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6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6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6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6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6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6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6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6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Row],[Cap.]],Tabulador!$B$3:$L$13,11,FALSE)/P36*Tabla1[[#This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6" s="332" t="str">
        <f>IF(Tabla1[[#This Row],[KG CARGA]]&lt;&gt;"",(SUM(Tabla1[[#This Row],[Flete]:[Fin semana10]])/Tabulador!$M$1)/Tabla1[[#This Row],[KG CARGA]],"")</f>
        <v/>
      </c>
      <c r="AW36" s="21" t="str">
        <f>IF(Tabla1[[#This Row],[$/KG]]&lt;&gt;"",Tabulador!$M$1,"")</f>
        <v/>
      </c>
      <c r="AX36" s="371">
        <f>IF(Tabla1[[#This Row],[KGS PASTA]]&gt;0,Tabla1[[#This Row],[KG PASTA]]/Tabla1[[#This Row],[KGS PASTA]],0)</f>
        <v>0</v>
      </c>
      <c r="AY36" s="371">
        <f>IF(Tabla1[[#This Row],[KGS PASTA]]&gt;0,Tabla1[[#This Row],[KG HARINA]]/Tabla1[[#This Row],[KGS PASTA]],0)</f>
        <v>0</v>
      </c>
      <c r="AZ36" s="402"/>
      <c r="BA36" s="402"/>
    </row>
    <row r="37" spans="1:53" ht="18" customHeight="1">
      <c r="A37" s="265"/>
      <c r="B37" s="266"/>
      <c r="C37" s="266"/>
      <c r="D37" s="267"/>
      <c r="E37" s="268"/>
      <c r="F37" s="269"/>
      <c r="G37" s="270"/>
      <c r="H37" s="271"/>
      <c r="I37" s="272"/>
      <c r="J37" s="272"/>
      <c r="K37" s="272"/>
      <c r="L37" s="271"/>
      <c r="M37" s="274"/>
      <c r="N37" s="278"/>
      <c r="O37" s="278"/>
      <c r="P37" s="278"/>
      <c r="Q37" s="275" t="str">
        <f t="shared" si="0"/>
        <v/>
      </c>
      <c r="R37" s="277"/>
      <c r="S37" s="20" t="str">
        <f>IF(OR(A37&lt;&gt;"",B37&lt;&gt;""),IF(E37&lt;&gt;"",VLOOKUP(E37,Tabulador!$A:$AU,Q37,FALSE),""),"")</f>
        <v/>
      </c>
      <c r="T37" s="276"/>
      <c r="U37" s="276"/>
      <c r="V37" s="276"/>
      <c r="W37" s="276"/>
      <c r="X37" s="276"/>
      <c r="Y37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7" s="284" t="str">
        <f>IF(Tabla1[[#This Row],[Cap.]]&lt;&gt;"",Tabla1[[#This Row],[BASE DE FLETE]]/Tabla1[[#This Row],[Cap.]],"")</f>
        <v/>
      </c>
      <c r="AA37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7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7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7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7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7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7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Row],[Cap.]],Tabulador!$B$3:$L$13,11,FALSE)/P37*Tabla1[[#This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7" s="21" t="str">
        <f>IF(S37&lt;&gt;"",IF(Tabla1[[#This Row],[EM]]="P/N",S37-(AA37+AO37),IF(Tabla1[[#This Row],[EM]]="N",S37,"")),"")</f>
        <v/>
      </c>
      <c r="AI37" s="21" t="str">
        <f>IF(T37&lt;&gt;"",IF(Tabla1[[#This Row],[EM]]="P/N",VLOOKUP(Tabla1[[#This Row],[Cap.]],Tabulador!$B$3:$L$13,7,FALSE)*Tabla1[[#This Row],[C]]-(AB37+AP37),IF(Tabla1[[#This Row],[EM]]="N",VLOOKUP(Tabla1[[#This Row],[Cap.]],Tabulador!$B$3:$L$13,7,FALSE)*Tabla1[[#This Row],[C]],"")),"")</f>
        <v/>
      </c>
      <c r="AJ37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7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7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7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7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7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7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7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7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7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7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7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Row],[Cap.]],Tabulador!$B$3:$L$13,11,FALSE)/P37*Tabla1[[#This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7" s="332" t="str">
        <f>IF(Tabla1[[#This Row],[KG CARGA]]&lt;&gt;"",(SUM(Tabla1[[#This Row],[Flete]:[Fin semana10]])/Tabulador!$M$1)/Tabla1[[#This Row],[KG CARGA]],"")</f>
        <v/>
      </c>
      <c r="AW37" s="21" t="str">
        <f>IF(Tabla1[[#This Row],[$/KG]]&lt;&gt;"",Tabulador!$M$1,"")</f>
        <v/>
      </c>
      <c r="AX37" s="371">
        <f>IF(Tabla1[[#This Row],[KGS PASTA]]&gt;0,Tabla1[[#This Row],[KG PASTA]]/Tabla1[[#This Row],[KGS PASTA]],0)</f>
        <v>0</v>
      </c>
      <c r="AY37" s="371">
        <f>IF(Tabla1[[#This Row],[KGS PASTA]]&gt;0,Tabla1[[#This Row],[KG HARINA]]/Tabla1[[#This Row],[KGS PASTA]],0)</f>
        <v>0</v>
      </c>
      <c r="AZ37" s="402"/>
      <c r="BA37" s="402"/>
    </row>
    <row r="38" spans="1:53" ht="18" customHeight="1">
      <c r="A38" s="265"/>
      <c r="B38" s="266"/>
      <c r="C38" s="266"/>
      <c r="D38" s="267"/>
      <c r="E38" s="273"/>
      <c r="F38" s="269"/>
      <c r="G38" s="270"/>
      <c r="H38" s="271"/>
      <c r="I38" s="272"/>
      <c r="J38" s="272"/>
      <c r="K38" s="272"/>
      <c r="L38" s="271"/>
      <c r="M38" s="274"/>
      <c r="N38" s="278"/>
      <c r="O38" s="278"/>
      <c r="P38" s="278"/>
      <c r="Q38" s="275" t="str">
        <f t="shared" si="0"/>
        <v/>
      </c>
      <c r="R38" s="277"/>
      <c r="S38" s="20" t="str">
        <f>IF(OR(A38&lt;&gt;"",B38&lt;&gt;""),IF(E38&lt;&gt;"",VLOOKUP(E38,Tabulador!$A:$AU,Q38,FALSE),""),"")</f>
        <v/>
      </c>
      <c r="T38" s="276"/>
      <c r="U38" s="276"/>
      <c r="V38" s="276"/>
      <c r="W38" s="276"/>
      <c r="X38" s="276"/>
      <c r="Y38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8" s="284" t="str">
        <f>IF(Tabla1[[#This Row],[Cap.]]&lt;&gt;"",Tabla1[[#This Row],[BASE DE FLETE]]/Tabla1[[#This Row],[Cap.]],"")</f>
        <v/>
      </c>
      <c r="AA38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8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8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8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8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8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8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Row],[Cap.]],Tabulador!$B$3:$L$13,11,FALSE)/P38*Tabla1[[#This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8" s="21" t="str">
        <f>IF(S38&lt;&gt;"",IF(Tabla1[[#This Row],[EM]]="P/N",S38-(AA38+AO38),IF(Tabla1[[#This Row],[EM]]="N",S38,"")),"")</f>
        <v/>
      </c>
      <c r="AI38" s="21" t="str">
        <f>IF(T38&lt;&gt;"",IF(Tabla1[[#This Row],[EM]]="P/N",VLOOKUP(Tabla1[[#This Row],[Cap.]],Tabulador!$B$3:$L$13,7,FALSE)*Tabla1[[#This Row],[C]]-(AB38+AP38),IF(Tabla1[[#This Row],[EM]]="N",VLOOKUP(Tabla1[[#This Row],[Cap.]],Tabulador!$B$3:$L$13,7,FALSE)*Tabla1[[#This Row],[C]],"")),"")</f>
        <v/>
      </c>
      <c r="AJ38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8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8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8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8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8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8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8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8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8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8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8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Row],[Cap.]],Tabulador!$B$3:$L$13,11,FALSE)/P38*Tabla1[[#This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8" s="332" t="str">
        <f>IF(Tabla1[[#This Row],[KG CARGA]]&lt;&gt;"",(SUM(Tabla1[[#This Row],[Flete]:[Fin semana10]])/Tabulador!$M$1)/Tabla1[[#This Row],[KG CARGA]],"")</f>
        <v/>
      </c>
      <c r="AW38" s="21" t="str">
        <f>IF(Tabla1[[#This Row],[$/KG]]&lt;&gt;"",Tabulador!$M$1,"")</f>
        <v/>
      </c>
      <c r="AX38" s="371">
        <f>IF(Tabla1[[#This Row],[KGS PASTA]]&gt;0,Tabla1[[#This Row],[KG PASTA]]/Tabla1[[#This Row],[KGS PASTA]],0)</f>
        <v>0</v>
      </c>
      <c r="AY38" s="371">
        <f>IF(Tabla1[[#This Row],[KGS PASTA]]&gt;0,Tabla1[[#This Row],[KG HARINA]]/Tabla1[[#This Row],[KGS PASTA]],0)</f>
        <v>0</v>
      </c>
      <c r="AZ38" s="402"/>
      <c r="BA38" s="402"/>
    </row>
    <row r="39" spans="1:53" ht="18" customHeight="1">
      <c r="A39" s="265"/>
      <c r="B39" s="266"/>
      <c r="C39" s="266"/>
      <c r="D39" s="267"/>
      <c r="E39" s="273"/>
      <c r="F39" s="269"/>
      <c r="G39" s="270"/>
      <c r="H39" s="271"/>
      <c r="I39" s="272"/>
      <c r="J39" s="272"/>
      <c r="K39" s="272"/>
      <c r="L39" s="271"/>
      <c r="M39" s="274"/>
      <c r="N39" s="278"/>
      <c r="O39" s="278"/>
      <c r="P39" s="278"/>
      <c r="Q39" s="275" t="str">
        <f t="shared" si="0"/>
        <v/>
      </c>
      <c r="R39" s="277"/>
      <c r="S39" s="20" t="str">
        <f>IF(OR(A39&lt;&gt;"",B39&lt;&gt;""),IF(E39&lt;&gt;"",VLOOKUP(E39,Tabulador!$A:$AU,Q39,FALSE),""),"")</f>
        <v/>
      </c>
      <c r="T39" s="276"/>
      <c r="U39" s="276"/>
      <c r="V39" s="276"/>
      <c r="W39" s="276"/>
      <c r="X39" s="276"/>
      <c r="Y39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39" s="284" t="str">
        <f>IF(Tabla1[[#This Row],[Cap.]]&lt;&gt;"",Tabla1[[#This Row],[BASE DE FLETE]]/Tabla1[[#This Row],[Cap.]],"")</f>
        <v/>
      </c>
      <c r="AA39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39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39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39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39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39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39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Row],[Cap.]],Tabulador!$B$3:$L$13,11,FALSE)/P39*Tabla1[[#This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39" s="21" t="str">
        <f>IF(S39&lt;&gt;"",IF(Tabla1[[#This Row],[EM]]="P/N",S39-(AA39+AO39),IF(Tabla1[[#This Row],[EM]]="N",S39,"")),"")</f>
        <v/>
      </c>
      <c r="AI39" s="21" t="str">
        <f>IF(T39&lt;&gt;"",IF(Tabla1[[#This Row],[EM]]="P/N",VLOOKUP(Tabla1[[#This Row],[Cap.]],Tabulador!$B$3:$L$13,7,FALSE)*Tabla1[[#This Row],[C]]-(AB39+AP39),IF(Tabla1[[#This Row],[EM]]="N",VLOOKUP(Tabla1[[#This Row],[Cap.]],Tabulador!$B$3:$L$13,7,FALSE)*Tabla1[[#This Row],[C]],"")),"")</f>
        <v/>
      </c>
      <c r="AJ39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39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39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39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39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39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39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39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39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39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39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39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Row],[Cap.]],Tabulador!$B$3:$L$13,11,FALSE)/P39*Tabla1[[#This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39" s="332" t="str">
        <f>IF(Tabla1[[#This Row],[KG CARGA]]&lt;&gt;"",(SUM(Tabla1[[#This Row],[Flete]:[Fin semana10]])/Tabulador!$M$1)/Tabla1[[#This Row],[KG CARGA]],"")</f>
        <v/>
      </c>
      <c r="AW39" s="21" t="str">
        <f>IF(Tabla1[[#This Row],[$/KG]]&lt;&gt;"",Tabulador!$M$1,"")</f>
        <v/>
      </c>
      <c r="AX39" s="371">
        <f>IF(Tabla1[[#This Row],[KGS PASTA]]&gt;0,Tabla1[[#This Row],[KG PASTA]]/Tabla1[[#This Row],[KGS PASTA]],0)</f>
        <v>0</v>
      </c>
      <c r="AY39" s="371">
        <f>IF(Tabla1[[#This Row],[KGS PASTA]]&gt;0,Tabla1[[#This Row],[KG HARINA]]/Tabla1[[#This Row],[KGS PASTA]],0)</f>
        <v>0</v>
      </c>
      <c r="AZ39" s="402"/>
      <c r="BA39" s="402"/>
    </row>
    <row r="40" spans="1:53" ht="18" customHeight="1">
      <c r="A40" s="265"/>
      <c r="B40" s="266"/>
      <c r="C40" s="266"/>
      <c r="D40" s="267"/>
      <c r="E40" s="273"/>
      <c r="F40" s="269"/>
      <c r="G40" s="270"/>
      <c r="H40" s="271"/>
      <c r="I40" s="272"/>
      <c r="J40" s="272"/>
      <c r="K40" s="272"/>
      <c r="L40" s="271"/>
      <c r="M40" s="274"/>
      <c r="N40" s="278"/>
      <c r="O40" s="278"/>
      <c r="P40" s="278"/>
      <c r="Q40" s="275" t="str">
        <f t="shared" si="0"/>
        <v/>
      </c>
      <c r="R40" s="277"/>
      <c r="S40" s="20" t="str">
        <f>IF(OR(A40&lt;&gt;"",B40&lt;&gt;""),IF(E40&lt;&gt;"",VLOOKUP(E40,Tabulador!$A:$AU,Q40,FALSE),""),"")</f>
        <v/>
      </c>
      <c r="T40" s="276"/>
      <c r="U40" s="276"/>
      <c r="V40" s="276"/>
      <c r="W40" s="276"/>
      <c r="X40" s="276"/>
      <c r="Y40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40" s="284" t="str">
        <f>IF(Tabla1[[#This Row],[Cap.]]&lt;&gt;"",Tabla1[[#This Row],[BASE DE FLETE]]/Tabla1[[#This Row],[Cap.]],"")</f>
        <v/>
      </c>
      <c r="AA40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40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40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40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40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40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40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Row],[Cap.]],Tabulador!$B$3:$L$13,11,FALSE)/P40*Tabla1[[#This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40" s="21" t="str">
        <f>IF(S40&lt;&gt;"",IF(Tabla1[[#This Row],[EM]]="P/N",S40-(AA40+AO40),IF(Tabla1[[#This Row],[EM]]="N",S40,"")),"")</f>
        <v/>
      </c>
      <c r="AI40" s="21" t="str">
        <f>IF(T40&lt;&gt;"",IF(Tabla1[[#This Row],[EM]]="P/N",VLOOKUP(Tabla1[[#This Row],[Cap.]],Tabulador!$B$3:$L$13,7,FALSE)*Tabla1[[#This Row],[C]]-(AB40+AP40),IF(Tabla1[[#This Row],[EM]]="N",VLOOKUP(Tabla1[[#This Row],[Cap.]],Tabulador!$B$3:$L$13,7,FALSE)*Tabla1[[#This Row],[C]],"")),"")</f>
        <v/>
      </c>
      <c r="AJ40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40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40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40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40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40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40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40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40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40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40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40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Row],[Cap.]],Tabulador!$B$3:$L$13,11,FALSE)/P40*Tabla1[[#This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40" s="332" t="str">
        <f>IF(Tabla1[[#This Row],[KG CARGA]]&lt;&gt;"",(SUM(Tabla1[[#This Row],[Flete]:[Fin semana10]])/Tabulador!$M$1)/Tabla1[[#This Row],[KG CARGA]],"")</f>
        <v/>
      </c>
      <c r="AW40" s="21" t="str">
        <f>IF(Tabla1[[#This Row],[$/KG]]&lt;&gt;"",Tabulador!$M$1,"")</f>
        <v/>
      </c>
      <c r="AX40" s="371">
        <f>IF(Tabla1[[#This Row],[KGS PASTA]]&gt;0,Tabla1[[#This Row],[KG PASTA]]/Tabla1[[#This Row],[KGS PASTA]],0)</f>
        <v>0</v>
      </c>
      <c r="AY40" s="371">
        <f>IF(Tabla1[[#This Row],[KGS PASTA]]&gt;0,Tabla1[[#This Row],[KG HARINA]]/Tabla1[[#This Row],[KGS PASTA]],0)</f>
        <v>0</v>
      </c>
      <c r="AZ40" s="402"/>
      <c r="BA40" s="402"/>
    </row>
    <row r="41" spans="1:53" ht="18" customHeight="1">
      <c r="A41" s="265"/>
      <c r="B41" s="266"/>
      <c r="C41" s="266"/>
      <c r="D41" s="267"/>
      <c r="E41" s="273"/>
      <c r="F41" s="269"/>
      <c r="G41" s="270"/>
      <c r="H41" s="271"/>
      <c r="I41" s="272"/>
      <c r="J41" s="272"/>
      <c r="K41" s="272"/>
      <c r="L41" s="271"/>
      <c r="M41" s="274"/>
      <c r="N41" s="278"/>
      <c r="O41" s="278"/>
      <c r="P41" s="278"/>
      <c r="Q41" s="275" t="str">
        <f t="shared" si="0"/>
        <v/>
      </c>
      <c r="R41" s="277"/>
      <c r="S41" s="20" t="str">
        <f>IF(OR(A41&lt;&gt;"",B41&lt;&gt;""),IF(E41&lt;&gt;"",VLOOKUP(E41,Tabulador!$A:$AU,Q41,FALSE),""),"")</f>
        <v/>
      </c>
      <c r="T41" s="276"/>
      <c r="U41" s="276"/>
      <c r="V41" s="276"/>
      <c r="W41" s="276"/>
      <c r="X41" s="276"/>
      <c r="Y41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41" s="284" t="str">
        <f>IF(Tabla1[[#This Row],[Cap.]]&lt;&gt;"",Tabla1[[#This Row],[BASE DE FLETE]]/Tabla1[[#This Row],[Cap.]],"")</f>
        <v/>
      </c>
      <c r="AA41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41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41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41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41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41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41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Row],[Cap.]],Tabulador!$B$3:$L$13,11,FALSE)/P41*Tabla1[[#This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41" s="21" t="str">
        <f>IF(S41&lt;&gt;"",IF(Tabla1[[#This Row],[EM]]="P/N",S41-(AA41+AO41),IF(Tabla1[[#This Row],[EM]]="N",S41,"")),"")</f>
        <v/>
      </c>
      <c r="AI41" s="21" t="str">
        <f>IF(T41&lt;&gt;"",IF(Tabla1[[#This Row],[EM]]="P/N",VLOOKUP(Tabla1[[#This Row],[Cap.]],Tabulador!$B$3:$L$13,7,FALSE)*Tabla1[[#This Row],[C]]-(AB41+AP41),IF(Tabla1[[#This Row],[EM]]="N",VLOOKUP(Tabla1[[#This Row],[Cap.]],Tabulador!$B$3:$L$13,7,FALSE)*Tabla1[[#This Row],[C]],"")),"")</f>
        <v/>
      </c>
      <c r="AJ41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41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41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41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41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41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41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41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41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41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41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41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Row],[Cap.]],Tabulador!$B$3:$L$13,11,FALSE)/P41*Tabla1[[#This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41" s="332" t="str">
        <f>IF(Tabla1[[#This Row],[KG CARGA]]&lt;&gt;"",(SUM(Tabla1[[#This Row],[Flete]:[Fin semana10]])/Tabulador!$M$1)/Tabla1[[#This Row],[KG CARGA]],"")</f>
        <v/>
      </c>
      <c r="AW41" s="21" t="str">
        <f>IF(Tabla1[[#This Row],[$/KG]]&lt;&gt;"",Tabulador!$M$1,"")</f>
        <v/>
      </c>
      <c r="AX41" s="371">
        <f>IF(Tabla1[[#This Row],[KGS PASTA]]&gt;0,Tabla1[[#This Row],[KG PASTA]]/Tabla1[[#This Row],[KGS PASTA]],0)</f>
        <v>0</v>
      </c>
      <c r="AY41" s="371">
        <f>IF(Tabla1[[#This Row],[KGS PASTA]]&gt;0,Tabla1[[#This Row],[KG HARINA]]/Tabla1[[#This Row],[KGS PASTA]],0)</f>
        <v>0</v>
      </c>
      <c r="AZ41" s="402"/>
      <c r="BA41" s="402"/>
    </row>
    <row r="42" spans="1:53" ht="18" customHeight="1">
      <c r="A42" s="265"/>
      <c r="B42" s="266"/>
      <c r="C42" s="266"/>
      <c r="D42" s="267"/>
      <c r="E42" s="273"/>
      <c r="F42" s="269"/>
      <c r="G42" s="270"/>
      <c r="H42" s="271"/>
      <c r="I42" s="272"/>
      <c r="J42" s="272"/>
      <c r="K42" s="272"/>
      <c r="L42" s="271"/>
      <c r="M42" s="274"/>
      <c r="N42" s="278"/>
      <c r="O42" s="278"/>
      <c r="P42" s="278"/>
      <c r="Q42" s="275" t="str">
        <f t="shared" si="0"/>
        <v/>
      </c>
      <c r="R42" s="277"/>
      <c r="S42" s="20" t="str">
        <f>IF(OR(A42&lt;&gt;"",B42&lt;&gt;""),IF(E42&lt;&gt;"",VLOOKUP(E42,Tabulador!$A:$AU,Q42,FALSE),""),"")</f>
        <v/>
      </c>
      <c r="T42" s="276"/>
      <c r="U42" s="276"/>
      <c r="V42" s="276"/>
      <c r="W42" s="276"/>
      <c r="X42" s="276"/>
      <c r="Y42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42" s="284" t="str">
        <f>IF(Tabla1[[#This Row],[Cap.]]&lt;&gt;"",Tabla1[[#This Row],[BASE DE FLETE]]/Tabla1[[#This Row],[Cap.]],"")</f>
        <v/>
      </c>
      <c r="AA42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42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42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42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42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42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42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Row],[Cap.]],Tabulador!$B$3:$L$13,11,FALSE)/P42*Tabla1[[#This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42" s="21" t="str">
        <f>IF(S42&lt;&gt;"",IF(Tabla1[[#This Row],[EM]]="P/N",S42-(AA42+AO42),IF(Tabla1[[#This Row],[EM]]="N",S42,"")),"")</f>
        <v/>
      </c>
      <c r="AI42" s="21" t="str">
        <f>IF(T42&lt;&gt;"",IF(Tabla1[[#This Row],[EM]]="P/N",VLOOKUP(Tabla1[[#This Row],[Cap.]],Tabulador!$B$3:$L$13,7,FALSE)*Tabla1[[#This Row],[C]]-(AB42+AP42),IF(Tabla1[[#This Row],[EM]]="N",VLOOKUP(Tabla1[[#This Row],[Cap.]],Tabulador!$B$3:$L$13,7,FALSE)*Tabla1[[#This Row],[C]],"")),"")</f>
        <v/>
      </c>
      <c r="AJ42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42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42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42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42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42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42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42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42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42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42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42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Row],[Cap.]],Tabulador!$B$3:$L$13,11,FALSE)/P42*Tabla1[[#This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42" s="332" t="str">
        <f>IF(Tabla1[[#This Row],[KG CARGA]]&lt;&gt;"",(SUM(Tabla1[[#This Row],[Flete]:[Fin semana10]])/Tabulador!$M$1)/Tabla1[[#This Row],[KG CARGA]],"")</f>
        <v/>
      </c>
      <c r="AW42" s="21" t="str">
        <f>IF(Tabla1[[#This Row],[$/KG]]&lt;&gt;"",Tabulador!$M$1,"")</f>
        <v/>
      </c>
      <c r="AX42" s="371">
        <f>IF(Tabla1[[#This Row],[KGS PASTA]]&gt;0,Tabla1[[#This Row],[KG PASTA]]/Tabla1[[#This Row],[KGS PASTA]],0)</f>
        <v>0</v>
      </c>
      <c r="AY42" s="371">
        <f>IF(Tabla1[[#This Row],[KGS PASTA]]&gt;0,Tabla1[[#This Row],[KG HARINA]]/Tabla1[[#This Row],[KGS PASTA]],0)</f>
        <v>0</v>
      </c>
      <c r="AZ42" s="402"/>
      <c r="BA42" s="402"/>
    </row>
    <row r="43" spans="1:53" ht="18" customHeight="1">
      <c r="A43" s="265"/>
      <c r="B43" s="266"/>
      <c r="C43" s="266"/>
      <c r="D43" s="267"/>
      <c r="E43" s="268"/>
      <c r="F43" s="269"/>
      <c r="G43" s="270"/>
      <c r="H43" s="271"/>
      <c r="I43" s="272"/>
      <c r="J43" s="272"/>
      <c r="K43" s="272"/>
      <c r="L43" s="271"/>
      <c r="M43" s="274"/>
      <c r="N43" s="278"/>
      <c r="O43" s="278"/>
      <c r="P43" s="278"/>
      <c r="Q43" s="275" t="str">
        <f t="shared" si="0"/>
        <v/>
      </c>
      <c r="R43" s="277"/>
      <c r="S43" s="20" t="str">
        <f>IF(OR(A43&lt;&gt;"",B43&lt;&gt;""),IF(E43&lt;&gt;"",VLOOKUP(E43,Tabulador!$A:$AU,Q43,FALSE),""),"")</f>
        <v/>
      </c>
      <c r="T43" s="276"/>
      <c r="U43" s="276"/>
      <c r="V43" s="276"/>
      <c r="W43" s="276"/>
      <c r="X43" s="276"/>
      <c r="Y43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43" s="284" t="str">
        <f>IF(Tabla1[[#This Row],[Cap.]]&lt;&gt;"",Tabla1[[#This Row],[BASE DE FLETE]]/Tabla1[[#This Row],[Cap.]],"")</f>
        <v/>
      </c>
      <c r="AA43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43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43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43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43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43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43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Row],[Cap.]],Tabulador!$B$3:$L$13,11,FALSE)/P43*Tabla1[[#This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43" s="21" t="str">
        <f>IF(S43&lt;&gt;"",IF(Tabla1[[#This Row],[EM]]="P/N",S43-(AA43+AO43),IF(Tabla1[[#This Row],[EM]]="N",S43,"")),"")</f>
        <v/>
      </c>
      <c r="AI43" s="21" t="str">
        <f>IF(T43&lt;&gt;"",IF(Tabla1[[#This Row],[EM]]="P/N",VLOOKUP(Tabla1[[#This Row],[Cap.]],Tabulador!$B$3:$L$13,7,FALSE)*Tabla1[[#This Row],[C]]-(AB43+AP43),IF(Tabla1[[#This Row],[EM]]="N",VLOOKUP(Tabla1[[#This Row],[Cap.]],Tabulador!$B$3:$L$13,7,FALSE)*Tabla1[[#This Row],[C]],"")),"")</f>
        <v/>
      </c>
      <c r="AJ43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43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43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43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43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43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43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43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43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43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43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43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Row],[Cap.]],Tabulador!$B$3:$L$13,11,FALSE)/P43*Tabla1[[#This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43" s="332" t="str">
        <f>IF(Tabla1[[#This Row],[KG CARGA]]&lt;&gt;"",(SUM(Tabla1[[#This Row],[Flete]:[Fin semana10]])/Tabulador!$M$1)/Tabla1[[#This Row],[KG CARGA]],"")</f>
        <v/>
      </c>
      <c r="AW43" s="21" t="str">
        <f>IF(Tabla1[[#This Row],[$/KG]]&lt;&gt;"",Tabulador!$M$1,"")</f>
        <v/>
      </c>
      <c r="AX43" s="371">
        <f>IF(Tabla1[[#This Row],[KGS PASTA]]&gt;0,Tabla1[[#This Row],[KG PASTA]]/Tabla1[[#This Row],[KGS PASTA]],0)</f>
        <v>0</v>
      </c>
      <c r="AY43" s="371">
        <f>IF(Tabla1[[#This Row],[KGS PASTA]]&gt;0,Tabla1[[#This Row],[KG HARINA]]/Tabla1[[#This Row],[KGS PASTA]],0)</f>
        <v>0</v>
      </c>
      <c r="AZ43" s="402"/>
      <c r="BA43" s="402"/>
    </row>
    <row r="44" spans="1:53" ht="18" customHeight="1">
      <c r="A44" s="265"/>
      <c r="B44" s="266"/>
      <c r="C44" s="266"/>
      <c r="D44" s="267"/>
      <c r="E44" s="273"/>
      <c r="F44" s="269"/>
      <c r="G44" s="270"/>
      <c r="H44" s="271"/>
      <c r="I44" s="272"/>
      <c r="J44" s="272"/>
      <c r="K44" s="272"/>
      <c r="L44" s="271"/>
      <c r="M44" s="274"/>
      <c r="N44" s="278"/>
      <c r="O44" s="278"/>
      <c r="P44" s="278"/>
      <c r="Q44" s="275" t="str">
        <f t="shared" si="0"/>
        <v/>
      </c>
      <c r="R44" s="277"/>
      <c r="S44" s="20" t="str">
        <f>IF(OR(A44&lt;&gt;"",B44&lt;&gt;""),IF(E44&lt;&gt;"",VLOOKUP(E44,Tabulador!$A:$AU,Q44,FALSE),""),"")</f>
        <v/>
      </c>
      <c r="T44" s="276"/>
      <c r="U44" s="276"/>
      <c r="V44" s="276"/>
      <c r="W44" s="276"/>
      <c r="X44" s="276"/>
      <c r="Y44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44" s="284" t="str">
        <f>IF(Tabla1[[#This Row],[Cap.]]&lt;&gt;"",Tabla1[[#This Row],[BASE DE FLETE]]/Tabla1[[#This Row],[Cap.]],"")</f>
        <v/>
      </c>
      <c r="AA44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44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44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44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44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44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44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44" s="21" t="str">
        <f>IF(S44&lt;&gt;"",IF(Tabla1[[#This Row],[EM]]="P/N",S44-(AA44+AO44),IF(Tabla1[[#This Row],[EM]]="N",S44,"")),"")</f>
        <v/>
      </c>
      <c r="AI44" s="21" t="str">
        <f>IF(T44&lt;&gt;"",IF(Tabla1[[#This Row],[EM]]="P/N",VLOOKUP(Tabla1[[#This Row],[Cap.]],Tabulador!$B$3:$L$13,7,FALSE)*Tabla1[[#This Row],[C]]-(AB44+AP44),IF(Tabla1[[#This Row],[EM]]="N",VLOOKUP(Tabla1[[#This Row],[Cap.]],Tabulador!$B$3:$L$13,7,FALSE)*Tabla1[[#This Row],[C]],"")),"")</f>
        <v/>
      </c>
      <c r="AJ44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44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44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44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44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44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44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44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44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44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44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44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Row],[Cap.]],Tabulador!$B$3:$L$13,11,FALSE)/P44*Tabla1[[#This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44" s="332" t="str">
        <f>IF(Tabla1[[#This Row],[KG CARGA]]&lt;&gt;"",(SUM(Tabla1[[#This Row],[Flete]:[Fin semana10]])/Tabulador!$M$1)/Tabla1[[#This Row],[KG CARGA]],"")</f>
        <v/>
      </c>
      <c r="AW44" s="21" t="str">
        <f>IF(Tabla1[[#This Row],[$/KG]]&lt;&gt;"",Tabulador!$M$1,"")</f>
        <v/>
      </c>
      <c r="AX44" s="371">
        <f>IF(Tabla1[[#This Row],[KGS PASTA]]&gt;0,Tabla1[[#This Row],[KG PASTA]]/Tabla1[[#This Row],[KGS PASTA]],0)</f>
        <v>0</v>
      </c>
      <c r="AY44" s="371">
        <f>IF(Tabla1[[#This Row],[KGS PASTA]]&gt;0,Tabla1[[#This Row],[KG HARINA]]/Tabla1[[#This Row],[KGS PASTA]],0)</f>
        <v>0</v>
      </c>
      <c r="AZ44" s="402"/>
      <c r="BA44" s="402"/>
    </row>
    <row r="45" spans="1:53" ht="18" customHeight="1">
      <c r="A45" s="265"/>
      <c r="B45" s="266"/>
      <c r="C45" s="266"/>
      <c r="D45" s="267"/>
      <c r="E45" s="273"/>
      <c r="F45" s="269"/>
      <c r="G45" s="270"/>
      <c r="H45" s="271"/>
      <c r="I45" s="272"/>
      <c r="J45" s="272"/>
      <c r="K45" s="272"/>
      <c r="L45" s="271"/>
      <c r="M45" s="274"/>
      <c r="N45" s="278"/>
      <c r="O45" s="278"/>
      <c r="P45" s="278"/>
      <c r="Q45" s="275" t="str">
        <f t="shared" si="0"/>
        <v/>
      </c>
      <c r="R45" s="277"/>
      <c r="S45" s="20" t="str">
        <f>IF(OR(A45&lt;&gt;"",B45&lt;&gt;""),IF(E45&lt;&gt;"",VLOOKUP(E45,Tabulador!$A:$AU,Q45,FALSE),""),"")</f>
        <v/>
      </c>
      <c r="T45" s="276"/>
      <c r="U45" s="276"/>
      <c r="V45" s="276"/>
      <c r="W45" s="276"/>
      <c r="X45" s="276"/>
      <c r="Y45" s="145" t="str">
        <f>IF(OR(Tabla1[[#This Row],[N° Guia]]&lt;&gt;"",Tabla1[[#This Row],[N° Guia2]]&lt;&gt;""),IF(AND(Tabla1[[#This Row],[N° Guia]]&lt;&gt;"",Tabla1[[#This Row],[N° Guia2]]&lt;&gt;""),"P/N",IF(AND(Tabla1[[#This Row],[N° Guia]]&lt;&gt;"",Tabla1[[#This Row],[N° Guia2]]=""),"P","N")),"")</f>
        <v/>
      </c>
      <c r="Z45" s="284" t="str">
        <f>IF(Tabla1[[#This Row],[Cap.]]&lt;&gt;"",Tabla1[[#This Row],[BASE DE FLETE]]/Tabla1[[#This Row],[Cap.]],"")</f>
        <v/>
      </c>
      <c r="AA45" s="21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PASTA]],"")</f>
        <v/>
      </c>
      <c r="AB45" s="127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PASTA]],"")</f>
        <v/>
      </c>
      <c r="AC45" s="126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PASTA]],"")</f>
        <v/>
      </c>
      <c r="AD45" s="126" t="str">
        <f>IFERROR(IF(Tabla1[[#This Row],[KGS PASTA]]&lt;Tabla1[[#This Row],[Cap.]],IF(Tabla1[[#This Row],[D]]&lt;&gt;"",IF(VLOOKUP(Tabla1[[#This Row],[Cap.]],Tabulador!$M$1:$R$14,4,FALSE)=1,IF(Tabla1[[#This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Row],[Cap.]],Tabulador!$B$3:$L$13,4,FALSE)*Tabla1[[#This Row],[Flete]])*Tabla1[[#This Row],[D]],IF(Tabla1[[#This Row],[EM]]="P",VLOOKUP(Tabla1[[#This Row],[Cap.]],Tabulador!$B$3:$L$13,4,FALSE)*Tabla1[[#This Row],[Flete]]*Tabla1[[#This Row],[D]],""))),""),IF(Tabla1[[#This Row],[Cap.]]&gt;=7500,VLOOKUP(Tabla1[[#This Row],[Cap.]],Tabulador!$B$3:$L$13,4,FALSE)*Tabla1[[#This Row],[Flete]]*Tabla1[[#This Row],[D]],VLOOKUP(Tabla1[[#This Row],[Cap.]],Tabulador!$B$3:$L$13,10,FALSE)*Tabla1[[#This Row],[D]]))*Tabla1[[#This Row],[% PASTA]],"")</f>
        <v/>
      </c>
      <c r="AE45" s="21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PASTA]],"")</f>
        <v/>
      </c>
      <c r="AF45" s="21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PASTA]],"")</f>
        <v/>
      </c>
      <c r="AG45" s="126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PASTA]],"")</f>
        <v/>
      </c>
      <c r="AH45" s="21" t="str">
        <f>IF(S45&lt;&gt;"",IF(Tabla1[[#This Row],[EM]]="P/N",S45-(AA45+AO45),IF(Tabla1[[#This Row],[EM]]="N",S45,"")),"")</f>
        <v/>
      </c>
      <c r="AI45" s="21" t="str">
        <f>IF(T45&lt;&gt;"",IF(Tabla1[[#This Row],[EM]]="P/N",VLOOKUP(Tabla1[[#This Row],[Cap.]],Tabulador!$B$3:$L$13,7,FALSE)*Tabla1[[#This Row],[C]]-(AB45+AP45),IF(Tabla1[[#This Row],[EM]]="N",VLOOKUP(Tabla1[[#This Row],[Cap.]],Tabulador!$B$3:$L$13,7,FALSE)*Tabla1[[#This Row],[C]],"")),"")</f>
        <v/>
      </c>
      <c r="AJ45" s="21" t="str">
        <f>IF(Tabla1[[#This Row],[R]]&lt;&gt;"",IF(VLOOKUP(Tabla1[[#This Row],[Cap.]],Tabulador!$M$1:$R$14,4,FALSE)=1,IF(Tabla1[[#This Row],[EM]]="P/N",(VLOOKUP(Tabla1[[#This Row],[Cap.]],Tabulador!$B$3:$L$13,9,FALSE)*Tabla1[[#This Row],[R]]-(Tabla1[[#This Row],[Reparto]])+Tabla1[[#This Row],[Reparto Mol]]),IF(Tabla1[[#This Row],[EM]]="N",VLOOKUP(Tabla1[[#This Row],[Cap.]],Tabulador!$B$3:$L$13,9,FALSE)*Tabla1[[#This Row],[R]],"")),IF(Tabla1[[#This Row],[EM]]="P/N",(VLOOKUP(Tabla1[[#This Row],[Cap.]],Tabulador!$B$3:$L$13,4,FALSE)*Tabla1[[#This Row],[BASE DE FLETE]]*Tabla1[[#This Row],[R]]-(Tabla1[[#This Row],[Reparto]]+Tabla1[[#This Row],[Reparto Mol]])),IF(Tabla1[[#This Row],[EM]]="N",VLOOKUP(Tabla1[[#This Row],[Cap.]],Tabulador!$B$3:$L$13,4,FALSE)*Tabla1[[#This Row],[BASE DE FLETE]]*Tabla1[[#This Row],[R]],""))),"")</f>
        <v/>
      </c>
      <c r="AK45" s="21" t="str">
        <f>IF(Tabla1[[#This Row],[D]]&lt;&gt;"",IF(VLOOKUP(Tabla1[[#This Row],[Cap.]],Tabulador!$M$1:$R$14,4,FALSE)=1,IF(Tabla1[[#This Row],[EM]]="P/N",(VLOOKUP(Tabla1[[#This Row],[Cap.]],Tabulador!$B$3:$L$13,10,FALSE)*Tabla1[[#This Row],[D]]-(Tabla1[[#This Row],[Desvío]]+Tabla1[[#This Row],[Desv. Mol]])),IF(Tabla1[[#This Row],[EM]]="N",VLOOKUP(Tabla1[[#This Row],[Cap.]],Tabulador!$B$3:$L$13,10,FALSE)*Tabla1[[#This Row],[D]],"")),IF(Tabla1[[#This Row],[EM]]="P/N",(VLOOKUP(Tabla1[[#This Row],[Cap.]],Tabulador!$B$3:$L$13,4,FALSE)*Tabla1[[#This Row],[BASE DE FLETE]]*Tabla1[[#This Row],[D]]-(Tabla1[[#This Row],[Desvío]]+Tabla1[[#This Row],[Desv. Mol]])),IF(Tabla1[[#This Row],[EM]]="N",VLOOKUP(Tabla1[[#This Row],[Cap.]],Tabulador!$B$3:$L$13,4,FALSE)*Tabla1[[#This Row],[BASE DE FLETE]]*Tabla1[[#This Row],[D]],""))),"")</f>
        <v/>
      </c>
      <c r="AL45" s="21" t="str">
        <f>IF(Tabla1[[#This Row],[PEAJE]]&lt;&gt;"",IF(Tabla1[[#This Row],[EM]]="P/N",Tabla1[[#This Row],[PEAJE]]-(Tabla1[[#This Row],[Peaje3]]+Tabla1[[#This Row],[Peaje Mol]]),IF(Tabla1[[#This Row],[EM]]="N",Tabla1[[#This Row],[PEAJE]],"")),"")</f>
        <v/>
      </c>
      <c r="AM45" s="21" t="str">
        <f>IF(Tabla1[[#This Row],[M]]&lt;&gt;"",IF(VLOOKUP(Tabla1[[#This Row],[Cap.]],Tabulador!$M$1:$R$14,3,FALSE)=1,IF(Tabla1[[#This Row],[EM]]="P/N",(VLOOKUP(Tabla1[[#This Row],[Cap.]],Tabulador!$B$3:$L$13,8,FALSE)*Tabla1[[#This Row],[M]]-(Tabla1[[#This Row],[Mora]]+Tabla1[[#This Row],[Mora Mol]])),IF(Tabla1[[#This Row],[EM]]="N",VLOOKUP(Tabla1[[#This Row],[Cap.]],Tabulador!$B$3:$L$13,8,FALSE)*Tabla1[[#This Row],[M]],"")),IF(Tabla1[[#This Row],[EM]]="P/N",VLOOKUP(Tabla1[[#This Row],[Cap.]],Tabulador!$B$3:$L$13,3,FALSE)*Tabla1[[#This Row],[BASE DE FLETE]]*Tabla1[[#This Row],[M]]-(Tabla1[[#This Row],[Mora]]+Tabla1[[#This Row],[Mora Mol]]),IF(Tabla1[[#This Row],[EM]]="N",VLOOKUP(Tabla1[[#This Row],[Cap.]],Tabulador!$B$3:$L$13,3,FALSE)*Tabla1[[#This Row],[BASE DE FLETE]]*Tabla1[[#This Row],[M]],""))),"")</f>
        <v/>
      </c>
      <c r="AN45" s="115" t="str">
        <f>IF(Tabla1[[#This Row],[F]]&lt;&gt;"",IF(VLOOKUP(Tabla1[[#This Row],[Cap.]],Tabulador!$M$1:$R$14,6,FALSE)=1,IF(Tabla1[[#This Row],[EM]]="P/N",(VLOOKUP(Tabla1[[#This Row],[Cap.]],Tabulador!$B$3:$L$13,11,FALSE)*Tabla1[[#This Row],[F]]-(Tabla1[[#This Row],[Fin semana]]+Tabla1[[#This Row],[Fin S. Mol]])),IF(Tabla1[[#This Row],[EM]]="N",VLOOKUP(Tabla1[[#This Row],[Cap.]],Tabulador!$B$3:$L$13,11,FALSE)*Tabla1[[#This Row],[F]]-Tabla1[[#This Row],[Fin semana]],"")),IF(Tabla1[[#This Row],[EM]]="P/N",(VLOOKUP(Tabla1[[#This Row],[Cap.]],Tabulador!$B$3:$L$13,6,FALSE)*Tabla1[[#This Row],[BASE DE FLETE]]*Tabla1[[#This Row],[F]]-(Tabla1[[#This Row],[Fin semana]]+Tabla1[[#This Row],[Fin S. Mol]])),IF(Tabla1[[#This Row],[EM]]="N",VLOOKUP(Tabla1[[#This Row],[Cap.]],Tabulador!$B$3:$L$13,6,FALSE)*Tabla1[[#This Row],[BASE DE FLETE]]*Tabla1[[#This Row],[F]],""))),"")</f>
        <v/>
      </c>
      <c r="AO45" s="370" t="str">
        <f>IFERROR(IF(Tabla1[[#This Row],[BASE DE FLETE]]&lt;&gt;"",IF(Tabla1[[#This Row],[KGS PASTA]]&lt;=Tabla1[[#This Row],[Cap.]],IF(Tabla1[[#This Row],[EM]]="P/N",Tabla1[[#This Row],[KGS PASTA]]*Tabla1[[#This Row],[FACTOR Bs/k]],IF(Tabla1[[#This Row],[EM]]="P",Tabla1[[#This Row],[BASE DE FLETE]],"")),IF(OR(Tabla1[[#This Row],[EM]]="P",Tabla1[[#This Row],[EM]]="P/N"),Tabla1[[#This Row],[BASE DE FLETE]],"")),"")*Tabla1[[#This Row],[% HARINA]],"")</f>
        <v/>
      </c>
      <c r="AP45" s="370" t="str">
        <f>IFERROR(IF(Tabla1[[#This Row],[C]]&lt;&gt;"",IF(Tabla1[[#This Row],[KGS PASTA]]&lt;Tabla1[[#This Row],[Cap.]],IF(Tabla1[[#This Row],[KGS PASTA]]&lt;&gt;"",IF(Tabla1[[#This Row],[EM]]="P/N",Tabla1[[#This Row],[KGS PASTA]]*VLOOKUP(Tabla1[[#This Row],[Cap.]],Tabulador!$B$3:$L$13,7,FALSE)/Tabla1[[#This Row],[KG CARGA]]*Tabla1[[#This Row],[C]],IF(Tabla1[[#This Row],[EM]]="P",VLOOKUP(Tabla1[[#This Row],[Cap.]],Tabulador!$B$3:$L$13,7,FALSE)*Tabla1[[#This Row],[C]],"")),""),VLOOKUP(Tabla1[[#This Row],[Cap.]],Tabulador!$B$3:$L$13,7,FALSE)*Tabla1[[#This Row],[C]]),"")*Tabla1[[#This Row],[% HARINA]],"")</f>
        <v/>
      </c>
      <c r="AQ45" s="370" t="str">
        <f>IFERROR(IF(Tabla1[[#This Row],[KGS PASTA]]&lt;Tabla1[[#This Row],[Cap.]],IF(Tabla1[[#This Row],[R]]&lt;&gt;"",IF(VLOOKUP(Tabla1[[#This Row],[Cap.]],Tabulador!$M$1:$R$14,4,FALSE)=1,IF(Tabla1[[#This Row],[EM]]="P/N",(VLOOKUP(Tabla1[[#This Row],[Cap.]],Tabulador!$B$3:$L$13,9,FALSE)/Tabla1[[#This Row],[KG CARGA]]*Tabla1[[#This Row],[KGS PASTA]])*Tabla1[[#This Row],[R]],IF(Tabla1[[#This Row],[EM]]="P",VLOOKUP(Tabla1[[#This Row],[Cap.]],Tabulador!$B$3:$L$13,9,FALSE)*Tabla1[[#This Row],[R]],"")),IF(Tabla1[[#This Row],[EM]]="P/N",(VLOOKUP(Tabla1[[#This Row],[Cap.]],Tabulador!$B$3:$L$13,4,FALSE)*Tabla1[[#This Row],[Flete]])*Tabla1[[#This Row],[R]],IF(Tabla1[[#This Row],[EM]]="P",VLOOKUP(Tabla1[[#This Row],[Cap.]],Tabulador!$B$3:$L$13,4,FALSE)*Tabla1[[#This Row],[Flete]]*Tabla1[[#This Row],[R]],""))),""),IF(Tabla1[[#This Row],[Cap.]]&gt;=7500,VLOOKUP(Tabla1[[#This Row],[Cap.]],Tabulador!$B$3:$L$13,4,FALSE)*Tabla1[[#This Row],[Flete]]*Tabla1[[#This Row],[R]],VLOOKUP(Tabla1[[#This Row],[Cap.]],Tabulador!$B$3:$L$13,9,FALSE)*Tabla1[[#This Row],[R]]))*Tabla1[[#This Row],[% HARINA]],"")</f>
        <v/>
      </c>
      <c r="AR45" s="370" t="str">
        <f>IFERROR(IF(Tabla1[[#This Row],[KGS PASTA]]&lt;Tabla1[[#This Row],[Cap.]],IF(Tabla1[[#This Row],[D]]&lt;&gt;"",IF(VLOOKUP(Tabla1[[#This Row],[Cap.]],Tabulador!$M$1:$R$14,5,FALSE)=1,IF(Tabla1[[#This Row],[EM]]="P/N",(VLOOKUP(Tabla1[[#This Row],[Cap.]],Tabulador!$B$3:$L$13,10,FALSE)/Tabla1[[#This Row],[KG CARGA]]*Tabla1[[#This Row],[KGS PASTA]])*Tabla1[[#This Row],[D]],IF(Tabla1[[#This Row],[EM]]="P",VLOOKUP(Tabla1[[#This Row],[Cap.]],Tabulador!$B$3:$L$13,10,FALSE)*Tabla1[[#This Row],[D]],"")),IF(Tabla1[[#This Row],[EM]]="P/N",(VLOOKUP(Tabla1[[#This Row],[Cap.]],Tabulador!$B$3:$L$13,5,FALSE)*Tabla1[[#This Row],[Flete]])*Tabla1[[#This Row],[D]],IF(Tabla1[[#This Row],[EM]]="P",VLOOKUP(Tabla1[[#This Row],[Cap.]],Tabulador!$B$3:$L$13,5,FALSE)*Tabla1[[#This Row],[Flete]]*Tabla1[[#This Row],[D]],""))),""),VLOOKUP(Tabla1[[#This Row],[Cap.]],Tabulador!$B$3:$L$13,10,FALSE)*Tabla1[[#This Row],[D]])*Tabla1[[#This Row],[% HARINA]],"")</f>
        <v/>
      </c>
      <c r="AS45" s="370" t="str">
        <f>IFERROR(IF(Tabla1[[#This Row],[PEAJE]]&lt;&gt;"",IF(Tabla1[[#This Row],[EM]]="P/N",IF((Tabla1[[#This Row],[PEAJE]]/Tabla1[[#This Row],[Cap.]]*Tabla1[[#This Row],[KGS PASTA]])&lt;Tabla1[[#This Row],[PEAJE]],(Tabla1[[#This Row],[PEAJE]]/Tabla1[[#This Row],[Cap.]])*Tabla1[[#This Row],[KGS PASTA]],Tabla1[[#This Row],[PEAJE]]),IF(Tabla1[[#This Row],[EM]]="P",Tabla1[[#This Row],[PEAJE]],"")),"")*Tabla1[[#This Row],[% HARINA]],"")</f>
        <v/>
      </c>
      <c r="AT45" s="370" t="str">
        <f>IFERROR(IF(Tabla1[[#This Row],[KGS PASTA]]&lt;Tabla1[[#This Row],[Cap.]],IF(Tabla1[[#This Row],[M]]&lt;&gt;"",IF(VLOOKUP(Tabla1[[#This Row],[Cap.]],Tabulador!$M$1:$R$14,3,FALSE)=1,IF(Tabla1[[#This Row],[EM]]="P/N",(VLOOKUP(Tabla1[[#This Row],[Cap.]],Tabulador!$B$3:$L$13,8,FALSE)/Tabla1[[#This Row],[KG CARGA]]*Tabla1[[#This Row],[KGS PASTA]])*Tabla1[[#This Row],[M]],IF(Tabla1[[#This Row],[EM]]="P",VLOOKUP(Tabla1[[#This Row],[Cap.]],Tabulador!$B$3:$L$13,8,FALSE)*Tabla1[[#This Row],[M]],"")),IF(Tabla1[[#This Row],[EM]]="P/N",(VLOOKUP(Tabla1[[#This Row],[Cap.]],Tabulador!$B$3:$L$13,3,FALSE)*Tabla1[[#This Row],[Flete]])*Tabla1[[#This Row],[M]],IF(Tabla1[[#This Row],[EM]]="P",VLOOKUP(Tabla1[[#This Row],[Cap.]],Tabulador!$B$3:$L$13,3,FALSE)*Tabla1[[#This Row],[Flete]]*Tabla1[[#This Row],[M]],""))),""),VLOOKUP(Tabla1[[#This Row],[Cap.]],Tabulador!$B$3:$L$13,8,FALSE)*Tabla1[[#This Row],[M]])*Tabla1[[#This Row],[% HARINA]],"")</f>
        <v/>
      </c>
      <c r="AU45" s="370" t="str">
        <f>IFERROR(IF(Tabla1[[#This Row],[F]]&lt;&gt;"",IF(VLOOKUP(Tabla1[[#This Row],[Cap.]],Tabulador!$M$1:$R$14,6,FALSE)=1,IF(Tabla1[[#This Row],[EM]]="P/N",(VLOOKUP(Tabla1[[#This Row],[Cap.]],Tabulador!$B$3:$L$13,11,FALSE)/Tabla1[[#This Row],[KG CARGA]]*Tabla1[[#This Row],[KGS PASTA]])*Tabla1[[#This Row],[F]],IF(Tabla1[[#This Row],[EM]]="P",VLOOKUP(Tabla1[[#This Row],[Cap.]],Tabulador!$B$3:$L$13,11,FALSE)/P45*Tabla1[[#This Row],[KGS PASTA]]*Tabla1[[#This Row],[F]],"")),IF(Tabla1[[#This Row],[EM]]="P/N",(VLOOKUP(Tabla1[[#This Row],[Cap.]],Tabulador!$B$3:$L$13,6,FALSE)*Tabla1[[#This Row],[Flete]])*Tabla1[[#This Row],[F]],IF(Tabla1[[#This Row],[EM]]="P",VLOOKUP(Tabla1[[#This Row],[Cap.]],Tabulador!$B$3:$L$13,6,FALSE)*Tabla1[[#This Row],[Flete]]*Tabla1[[#This Row],[F]],""))),"")*Tabla1[[#This Row],[% HARINA]],"")</f>
        <v/>
      </c>
      <c r="AV45" s="332" t="str">
        <f>IF(Tabla1[[#This Row],[KG CARGA]]&lt;&gt;"",(SUM(Tabla1[[#This Row],[Flete]:[Fin semana10]])/Tabulador!$M$1)/Tabla1[[#This Row],[KG CARGA]],"")</f>
        <v/>
      </c>
      <c r="AW45" s="21" t="str">
        <f>IF(Tabla1[[#This Row],[$/KG]]&lt;&gt;"",Tabulador!$M$1,"")</f>
        <v/>
      </c>
      <c r="AX45" s="371">
        <f>IF(Tabla1[[#This Row],[KGS PASTA]]&gt;0,Tabla1[[#This Row],[KG PASTA]]/Tabla1[[#This Row],[KGS PASTA]],0)</f>
        <v>0</v>
      </c>
      <c r="AY45" s="371">
        <f>IF(Tabla1[[#This Row],[KGS PASTA]]&gt;0,Tabla1[[#This Row],[KG HARINA]]/Tabla1[[#This Row],[KGS PASTA]],0)</f>
        <v>0</v>
      </c>
      <c r="AZ45" s="402"/>
      <c r="BA45" s="402"/>
    </row>
    <row r="46" spans="1:53" ht="15.75">
      <c r="H46" s="353">
        <f>SUBTOTAL(109,Tabla1[Total Kgs.])</f>
        <v>42238.295999999988</v>
      </c>
      <c r="I46" s="353">
        <f>SUBTOTAL(109,Tabla1[Total Kgs.])</f>
        <v>42238.295999999988</v>
      </c>
      <c r="J46" s="353">
        <f>SUBTOTAL(109,Tabla1[Total Kgs.])</f>
        <v>42238.295999999988</v>
      </c>
      <c r="K46" s="353"/>
      <c r="L46" s="353">
        <f>SUBTOTAL(109,Tabla1[Total Kgs.])</f>
        <v>42238.295999999988</v>
      </c>
      <c r="N46" s="13"/>
      <c r="O46" s="13"/>
      <c r="S46" s="22" t="s">
        <v>0</v>
      </c>
      <c r="T46" s="22"/>
      <c r="U46" s="29"/>
      <c r="V46" s="29"/>
      <c r="W46" s="29"/>
      <c r="X46" s="29"/>
      <c r="Y46" s="29"/>
      <c r="Z46" s="67" t="s">
        <v>242</v>
      </c>
      <c r="AA46" s="48">
        <f t="shared" ref="AA46:AN46" si="2">ROUND(SUM(AA4:AA45),2)</f>
        <v>1513.47</v>
      </c>
      <c r="AB46" s="48">
        <f t="shared" si="2"/>
        <v>166.26</v>
      </c>
      <c r="AC46" s="48">
        <f t="shared" si="2"/>
        <v>143.34</v>
      </c>
      <c r="AD46" s="48">
        <f t="shared" si="2"/>
        <v>55.23</v>
      </c>
      <c r="AE46" s="48">
        <f t="shared" si="2"/>
        <v>0</v>
      </c>
      <c r="AF46" s="48">
        <f t="shared" si="2"/>
        <v>0</v>
      </c>
      <c r="AG46" s="48">
        <f t="shared" si="2"/>
        <v>0</v>
      </c>
      <c r="AH46" s="48">
        <f t="shared" si="2"/>
        <v>286.73</v>
      </c>
      <c r="AI46" s="48">
        <f t="shared" si="2"/>
        <v>21.85</v>
      </c>
      <c r="AJ46" s="48">
        <f t="shared" si="2"/>
        <v>25.86</v>
      </c>
      <c r="AK46" s="48">
        <f t="shared" si="2"/>
        <v>5.97</v>
      </c>
      <c r="AL46" s="48">
        <f t="shared" si="2"/>
        <v>0</v>
      </c>
      <c r="AM46" s="48">
        <f t="shared" si="2"/>
        <v>0</v>
      </c>
      <c r="AN46" s="48">
        <f t="shared" si="2"/>
        <v>0</v>
      </c>
      <c r="AO46" s="48">
        <f t="shared" ref="AO46:AU46" si="3">ROUND(SUM(AO4:AO45),2)</f>
        <v>37.799999999999997</v>
      </c>
      <c r="AP46" s="48">
        <f t="shared" si="3"/>
        <v>1.89</v>
      </c>
      <c r="AQ46" s="48">
        <f t="shared" si="3"/>
        <v>0</v>
      </c>
      <c r="AR46" s="48">
        <f t="shared" si="3"/>
        <v>0</v>
      </c>
      <c r="AS46" s="48">
        <f t="shared" si="3"/>
        <v>0</v>
      </c>
      <c r="AT46" s="48">
        <f t="shared" si="3"/>
        <v>0</v>
      </c>
      <c r="AU46" s="48">
        <f t="shared" si="3"/>
        <v>0</v>
      </c>
    </row>
    <row r="47" spans="1:53" ht="15">
      <c r="I47" s="49"/>
      <c r="J47" s="49"/>
      <c r="K47" s="49"/>
      <c r="L47" s="14"/>
      <c r="M47" s="34"/>
      <c r="N47" s="15"/>
      <c r="O47" s="15"/>
      <c r="S47" s="16"/>
      <c r="T47" s="16"/>
      <c r="U47" s="30"/>
      <c r="V47" s="30"/>
      <c r="W47" s="30"/>
      <c r="X47" s="30"/>
      <c r="Y47" s="30"/>
      <c r="Z47" s="261" t="s">
        <v>241</v>
      </c>
      <c r="AA47" s="262">
        <f>AA46/Tabulador!$M$1</f>
        <v>1513.47</v>
      </c>
      <c r="AB47" s="262">
        <f>AB46/Tabulador!$M$1</f>
        <v>166.26</v>
      </c>
      <c r="AC47" s="262">
        <f>AC46/Tabulador!$M$1</f>
        <v>143.34</v>
      </c>
      <c r="AD47" s="262">
        <f>AD46/Tabulador!$M$1</f>
        <v>55.23</v>
      </c>
      <c r="AE47" s="262">
        <f>AE46/Tabulador!$M$1</f>
        <v>0</v>
      </c>
      <c r="AF47" s="262">
        <f>AF46/Tabulador!$M$1</f>
        <v>0</v>
      </c>
      <c r="AG47" s="262">
        <f>AG46/Tabulador!$M$1</f>
        <v>0</v>
      </c>
      <c r="AH47" s="262">
        <f>AH46/Tabulador!$M$1</f>
        <v>286.73</v>
      </c>
      <c r="AI47" s="262">
        <f>AI46/Tabulador!$M$1</f>
        <v>21.85</v>
      </c>
      <c r="AJ47" s="262">
        <f>AJ46/Tabulador!$M$1</f>
        <v>25.86</v>
      </c>
      <c r="AK47" s="262">
        <f>AK46/Tabulador!$M$1</f>
        <v>5.97</v>
      </c>
      <c r="AL47" s="262">
        <f>AL46/Tabulador!$M$1</f>
        <v>0</v>
      </c>
      <c r="AM47" s="262">
        <f>AM46/Tabulador!$M$1</f>
        <v>0</v>
      </c>
      <c r="AN47" s="262">
        <f>AN46/Tabulador!$M$1</f>
        <v>0</v>
      </c>
      <c r="AO47" s="262">
        <f>AO46/Tabulador!$M$1</f>
        <v>37.799999999999997</v>
      </c>
      <c r="AP47" s="262">
        <f>AP46/Tabulador!$M$1</f>
        <v>1.89</v>
      </c>
      <c r="AQ47" s="262">
        <f>AQ46/Tabulador!$M$1</f>
        <v>0</v>
      </c>
      <c r="AR47" s="262">
        <f>AR46/Tabulador!$M$1</f>
        <v>0</v>
      </c>
      <c r="AS47" s="262">
        <f>AS46/Tabulador!$M$1</f>
        <v>0</v>
      </c>
      <c r="AT47" s="262">
        <f>AT46/Tabulador!$M$1</f>
        <v>0</v>
      </c>
      <c r="AU47" s="262">
        <f>AU46/Tabulador!$M$1</f>
        <v>0</v>
      </c>
    </row>
    <row r="48" spans="1:53" ht="14.25">
      <c r="A48" s="427" t="s">
        <v>355</v>
      </c>
      <c r="B48" s="429" t="s">
        <v>4</v>
      </c>
      <c r="C48" s="430"/>
      <c r="D48" s="431"/>
      <c r="E48" s="431"/>
      <c r="F48" s="431"/>
      <c r="G48" s="431"/>
      <c r="H48" s="431"/>
      <c r="I48" s="432"/>
      <c r="J48" s="427" t="s">
        <v>355</v>
      </c>
      <c r="K48" s="364"/>
      <c r="L48" s="439" t="s">
        <v>132</v>
      </c>
      <c r="M48" s="440"/>
      <c r="N48" s="440"/>
      <c r="O48" s="440"/>
      <c r="P48" s="440"/>
      <c r="Q48" s="440"/>
      <c r="R48" s="440"/>
      <c r="S48" s="291"/>
      <c r="T48" s="16"/>
      <c r="U48" s="30"/>
      <c r="V48" s="30"/>
      <c r="W48" s="30"/>
      <c r="X48" s="30"/>
      <c r="Y48" s="30"/>
      <c r="Z48" s="75"/>
      <c r="AA48" s="17"/>
      <c r="AB48" s="17"/>
      <c r="AC48" s="17"/>
      <c r="AD48" s="17"/>
      <c r="AE48" s="17"/>
      <c r="AF48" s="17"/>
      <c r="AG48" s="17"/>
      <c r="AH48" s="17"/>
      <c r="AI48" s="17"/>
    </row>
    <row r="49" spans="1:41" ht="21.75" customHeight="1">
      <c r="A49" s="428"/>
      <c r="B49" s="135" t="s">
        <v>133</v>
      </c>
      <c r="C49" s="135"/>
      <c r="D49" s="135" t="s">
        <v>43</v>
      </c>
      <c r="E49" s="136" t="s">
        <v>134</v>
      </c>
      <c r="F49" s="135" t="s">
        <v>135</v>
      </c>
      <c r="G49" s="135" t="s">
        <v>163</v>
      </c>
      <c r="H49" s="137" t="s">
        <v>136</v>
      </c>
      <c r="I49" s="138" t="s">
        <v>137</v>
      </c>
      <c r="J49" s="428"/>
      <c r="K49" s="365"/>
      <c r="L49" s="128" t="s">
        <v>133</v>
      </c>
      <c r="M49" s="368" t="s">
        <v>43</v>
      </c>
      <c r="N49" s="129" t="s">
        <v>134</v>
      </c>
      <c r="O49" s="130" t="s">
        <v>135</v>
      </c>
      <c r="P49" s="128" t="s">
        <v>163</v>
      </c>
      <c r="Q49" s="131" t="s">
        <v>136</v>
      </c>
      <c r="R49" s="293" t="s">
        <v>137</v>
      </c>
      <c r="S49" s="291"/>
      <c r="T49" s="76"/>
      <c r="U49" s="30"/>
      <c r="V49" s="30"/>
      <c r="W49" s="30"/>
      <c r="X49" s="30"/>
      <c r="Y49" s="30"/>
      <c r="Z49" s="75"/>
      <c r="AA49" s="233">
        <f>250*Tabulador!M1</f>
        <v>250</v>
      </c>
      <c r="AB49" s="16"/>
      <c r="AC49" s="16" t="s">
        <v>120</v>
      </c>
      <c r="AD49" s="16"/>
      <c r="AE49" s="16"/>
      <c r="AF49" s="16"/>
      <c r="AG49" s="16"/>
      <c r="AH49" s="372"/>
      <c r="AI49" s="373"/>
      <c r="AJ49" s="263" t="s">
        <v>241</v>
      </c>
      <c r="AK49" s="16"/>
    </row>
    <row r="50" spans="1:41" ht="18">
      <c r="A50" s="266"/>
      <c r="B50" s="132" t="str">
        <f>IF(A50&lt;&gt;"",VLOOKUP(A50,Tabla1[[N° Guia]:[Fin semana]],25,FALSE),"")</f>
        <v/>
      </c>
      <c r="C50" s="132"/>
      <c r="D50" s="133" t="str">
        <f>IF(A50&lt;&gt;"",VLOOKUP(A50,Tabla1[[N° Guia]:[Fin semana]],26,FALSE),"")</f>
        <v/>
      </c>
      <c r="E50" s="132" t="str">
        <f>IF(A50&lt;&gt;"",VLOOKUP(A50,Tabla1[[N° Guia]:[Fin semana]],27,FALSE),"")</f>
        <v/>
      </c>
      <c r="F50" s="132" t="str">
        <f>IF(A50&lt;&gt;"",VLOOKUP(A50,Tabla1[[N° Guia]:[Fin semana]],28,FALSE),"")</f>
        <v/>
      </c>
      <c r="G50" s="132" t="str">
        <f>IF(A50&lt;&gt;"",VLOOKUP(A50,Tabla1[[N° Guia]:[Fin semana]],29,FALSE),"")</f>
        <v/>
      </c>
      <c r="H50" s="132" t="str">
        <f>IF(A50&lt;&gt;"",VLOOKUP(A50,Tabla1[[N° Guia]:[Fin semana]],30,FALSE),"")</f>
        <v/>
      </c>
      <c r="I50" s="134"/>
      <c r="J50" s="266"/>
      <c r="K50" s="366"/>
      <c r="L50" s="132" t="str">
        <f>IF(J50&lt;&gt;"",VLOOKUP(J50,Tabla1[[N° Guia2]:[Fin semana10]],31,FALSE),"")</f>
        <v/>
      </c>
      <c r="M50" s="132" t="str">
        <f>IF(J50&lt;&gt;"",VLOOKUP(J50,Tabla1[[N° Guia2]:[Fin semana10]],32,FALSE),"")</f>
        <v/>
      </c>
      <c r="N50" s="132" t="str">
        <f>IF(J50&lt;&gt;"",VLOOKUP(J50,Tabla1[[N° Guia2]:[Fin semana10]],33,FALSE),"")</f>
        <v/>
      </c>
      <c r="O50" s="132" t="str">
        <f>IF(J50&lt;&gt;"",VLOOKUP(J50,Tabla1[[N° Guia2]:[Fin semana10]],34,FALSE),"")</f>
        <v/>
      </c>
      <c r="P50" s="132" t="str">
        <f>IF(J50&lt;&gt;"",VLOOKUP(J50,Tabla1[[N° Guia2]:[Fin semana10]],35,FALSE),"")</f>
        <v/>
      </c>
      <c r="Q50" s="132" t="str">
        <f>IF(J50&lt;&gt;"",VLOOKUP(J50,Tabla1[[N° Guia2]:[Fin semana10]],36,FALSE),"")</f>
        <v/>
      </c>
      <c r="R50" s="132" t="str">
        <f>IF(J50&lt;&gt;"",VLOOKUP(J50,Tabla1[[N° Guia2]:[Fin semana10]],37,FALSE),"")</f>
        <v/>
      </c>
      <c r="S50" s="292"/>
      <c r="T50" s="77"/>
      <c r="U50" s="78"/>
      <c r="V50" s="78"/>
      <c r="AA50" s="79"/>
      <c r="AC50" s="50" t="s">
        <v>4</v>
      </c>
      <c r="AD50" s="51"/>
      <c r="AE50" s="52" t="s">
        <v>3</v>
      </c>
      <c r="AF50" s="35"/>
      <c r="AG50" s="52" t="s">
        <v>396</v>
      </c>
      <c r="AH50" s="376"/>
      <c r="AI50" s="374"/>
      <c r="AJ50" s="50" t="s">
        <v>4</v>
      </c>
      <c r="AK50" s="51"/>
      <c r="AL50" s="52" t="s">
        <v>3</v>
      </c>
      <c r="AM50" s="35"/>
      <c r="AN50" s="52" t="s">
        <v>396</v>
      </c>
      <c r="AO50" s="35"/>
    </row>
    <row r="51" spans="1:41" ht="18">
      <c r="A51" s="266"/>
      <c r="B51" s="132" t="str">
        <f>IF(A51&lt;&gt;"",VLOOKUP(A51,Tabla1[[N° Guia]:[Fin semana]],25,FALSE),"")</f>
        <v/>
      </c>
      <c r="C51" s="132"/>
      <c r="D51" s="133" t="str">
        <f>IF(A51&lt;&gt;"",VLOOKUP(A51,Tabla1[[N° Guia]:[Fin semana]],26,FALSE),"")</f>
        <v/>
      </c>
      <c r="E51" s="132" t="str">
        <f>IF(A51&lt;&gt;"",VLOOKUP(A51,Tabla1[[N° Guia]:[Fin semana]],27,FALSE),"")</f>
        <v/>
      </c>
      <c r="F51" s="132" t="str">
        <f>IF(A51&lt;&gt;"",VLOOKUP(A51,Tabla1[[N° Guia]:[Fin semana]],28,FALSE),"")</f>
        <v/>
      </c>
      <c r="G51" s="132" t="str">
        <f>IF(A51&lt;&gt;"",VLOOKUP(A51,Tabla1[[N° Guia]:[Fin semana]],29,FALSE),"")</f>
        <v/>
      </c>
      <c r="H51" s="132" t="str">
        <f>IF(A51&lt;&gt;"",VLOOKUP(A51,Tabla1[[N° Guia]:[Fin semana]],30,FALSE),"")</f>
        <v/>
      </c>
      <c r="I51" s="134"/>
      <c r="J51" s="266"/>
      <c r="K51" s="366"/>
      <c r="L51" s="132" t="str">
        <f>IF(J51&lt;&gt;"",VLOOKUP(J51,Tabla1[[N° Guia2]:[Fin semana10]],31,FALSE),"")</f>
        <v/>
      </c>
      <c r="M51" s="132" t="str">
        <f>IF(J51&lt;&gt;"",VLOOKUP(J51,Tabla1[[N° Guia2]:[Fin semana10]],32,FALSE),"")</f>
        <v/>
      </c>
      <c r="N51" s="132" t="str">
        <f>IF(J51&lt;&gt;"",VLOOKUP(J51,Tabla1[[N° Guia2]:[Fin semana10]],33,FALSE),"")</f>
        <v/>
      </c>
      <c r="O51" s="132" t="str">
        <f>IF(J51&lt;&gt;"",VLOOKUP(J51,Tabla1[[N° Guia2]:[Fin semana10]],34,FALSE),"")</f>
        <v/>
      </c>
      <c r="P51" s="132" t="str">
        <f>IF(J51&lt;&gt;"",VLOOKUP(J51,Tabla1[[N° Guia2]:[Fin semana10]],35,FALSE),"")</f>
        <v/>
      </c>
      <c r="Q51" s="132" t="str">
        <f>IF(J51&lt;&gt;"",VLOOKUP(J51,Tabla1[[N° Guia2]:[Fin semana10]],36,FALSE),"")</f>
        <v/>
      </c>
      <c r="R51" s="132" t="str">
        <f>IF(J51&lt;&gt;"",VLOOKUP(J51,Tabla1[[N° Guia2]:[Fin semana10]],37,FALSE),"")</f>
        <v/>
      </c>
      <c r="S51" s="292"/>
      <c r="T51" s="80"/>
      <c r="U51" s="78"/>
      <c r="V51" s="78"/>
      <c r="W51" s="78"/>
      <c r="X51" s="78"/>
      <c r="Y51" s="78"/>
      <c r="Z51" s="81"/>
      <c r="AA51" s="82"/>
      <c r="AC51" s="53" t="s">
        <v>47</v>
      </c>
      <c r="AD51" s="54">
        <f>+AA46+AC46+AD46+AE46+AF46+AG46+AB46</f>
        <v>1878.3</v>
      </c>
      <c r="AE51" s="53" t="s">
        <v>47</v>
      </c>
      <c r="AF51" s="54">
        <f>SUM(AH46:AN46)</f>
        <v>340.41000000000008</v>
      </c>
      <c r="AG51" s="53" t="s">
        <v>47</v>
      </c>
      <c r="AH51" s="54">
        <f>SUM(AO46:AU46)</f>
        <v>39.69</v>
      </c>
      <c r="AI51" s="82"/>
      <c r="AJ51" s="53" t="s">
        <v>47</v>
      </c>
      <c r="AK51" s="54">
        <f>+AA47+AC47+AD47+AE47+AF47+AG47+AB47</f>
        <v>1878.3</v>
      </c>
      <c r="AL51" s="53" t="s">
        <v>47</v>
      </c>
      <c r="AM51" s="54">
        <f>SUM(AH47:AN47)</f>
        <v>340.41000000000008</v>
      </c>
      <c r="AN51" s="53" t="s">
        <v>47</v>
      </c>
      <c r="AO51" s="54">
        <f>SUM(AO47:AU47)</f>
        <v>39.69</v>
      </c>
    </row>
    <row r="52" spans="1:41" ht="18">
      <c r="A52" s="266"/>
      <c r="B52" s="132" t="str">
        <f>IF(A52&lt;&gt;"",VLOOKUP(A52,Tabla1[[N° Guia]:[Fin semana]],25,FALSE),"")</f>
        <v/>
      </c>
      <c r="C52" s="132"/>
      <c r="D52" s="133" t="str">
        <f>IF(A52&lt;&gt;"",VLOOKUP(A52,Tabla1[[N° Guia]:[Fin semana]],26,FALSE),"")</f>
        <v/>
      </c>
      <c r="E52" s="132" t="str">
        <f>IF(A52&lt;&gt;"",VLOOKUP(A52,Tabla1[[N° Guia]:[Fin semana]],27,FALSE),"")</f>
        <v/>
      </c>
      <c r="F52" s="132" t="str">
        <f>IF(A52&lt;&gt;"",VLOOKUP(A52,Tabla1[[N° Guia]:[Fin semana]],28,FALSE),"")</f>
        <v/>
      </c>
      <c r="G52" s="132" t="str">
        <f>IF(A52&lt;&gt;"",VLOOKUP(A52,Tabla1[[N° Guia]:[Fin semana]],29,FALSE),"")</f>
        <v/>
      </c>
      <c r="H52" s="132" t="str">
        <f>IF(A52&lt;&gt;"",VLOOKUP(A52,Tabla1[[N° Guia]:[Fin semana]],30,FALSE),"")</f>
        <v/>
      </c>
      <c r="I52" s="134"/>
      <c r="J52" s="266"/>
      <c r="K52" s="366"/>
      <c r="L52" s="132" t="str">
        <f>IF(J52&lt;&gt;"",VLOOKUP(J52,Tabla1[[N° Guia2]:[Fin semana10]],31,FALSE),"")</f>
        <v/>
      </c>
      <c r="M52" s="132" t="str">
        <f>IF(J52&lt;&gt;"",VLOOKUP(J52,Tabla1[[N° Guia2]:[Fin semana10]],32,FALSE),"")</f>
        <v/>
      </c>
      <c r="N52" s="132" t="str">
        <f>IF(J52&lt;&gt;"",VLOOKUP(J52,Tabla1[[N° Guia2]:[Fin semana10]],33,FALSE),"")</f>
        <v/>
      </c>
      <c r="O52" s="132" t="str">
        <f>IF(J52&lt;&gt;"",VLOOKUP(J52,Tabla1[[N° Guia2]:[Fin semana10]],34,FALSE),"")</f>
        <v/>
      </c>
      <c r="P52" s="132" t="str">
        <f>IF(J52&lt;&gt;"",VLOOKUP(J52,Tabla1[[N° Guia2]:[Fin semana10]],35,FALSE),"")</f>
        <v/>
      </c>
      <c r="Q52" s="132" t="str">
        <f>IF(J52&lt;&gt;"",VLOOKUP(J52,Tabla1[[N° Guia2]:[Fin semana10]],36,FALSE),"")</f>
        <v/>
      </c>
      <c r="R52" s="132" t="str">
        <f>IF(J52&lt;&gt;"",VLOOKUP(J52,Tabla1[[N° Guia2]:[Fin semana10]],37,FALSE),"")</f>
        <v/>
      </c>
      <c r="S52" s="292"/>
      <c r="T52" s="77"/>
      <c r="U52" s="78"/>
      <c r="V52" s="78"/>
      <c r="W52" s="78"/>
      <c r="X52" s="78"/>
      <c r="Y52" s="78"/>
      <c r="Z52" s="81"/>
      <c r="AA52" s="146"/>
      <c r="AC52" s="53" t="s">
        <v>2</v>
      </c>
      <c r="AD52" s="54">
        <f>+AA46+AC46+AD46+AE46+AF46+AG46+AB46</f>
        <v>1878.3</v>
      </c>
      <c r="AE52" s="53" t="s">
        <v>2</v>
      </c>
      <c r="AF52" s="54">
        <f>SUM(AH46:AN46)</f>
        <v>340.41000000000008</v>
      </c>
      <c r="AG52" s="53" t="s">
        <v>2</v>
      </c>
      <c r="AH52" s="54">
        <f>SUM(AO46:AU46)</f>
        <v>39.69</v>
      </c>
      <c r="AI52" s="82"/>
      <c r="AJ52" s="53" t="s">
        <v>2</v>
      </c>
      <c r="AK52" s="54">
        <f>+AA47+AC47+AD47+AE47+AF47+AG47+AB47</f>
        <v>1878.3</v>
      </c>
      <c r="AL52" s="53" t="s">
        <v>2</v>
      </c>
      <c r="AM52" s="54">
        <f>SUM(AH47:AN47)</f>
        <v>340.41000000000008</v>
      </c>
      <c r="AN52" s="53" t="s">
        <v>2</v>
      </c>
      <c r="AO52" s="54">
        <f>SUM(AO47:AU47)</f>
        <v>39.69</v>
      </c>
    </row>
    <row r="53" spans="1:41" ht="18">
      <c r="A53" s="266"/>
      <c r="B53" s="132" t="str">
        <f>IF(A53&lt;&gt;"",VLOOKUP(A53,Tabla1[[N° Guia]:[Fin semana]],25,FALSE),"")</f>
        <v/>
      </c>
      <c r="C53" s="132"/>
      <c r="D53" s="133" t="str">
        <f>IF(A53&lt;&gt;"",VLOOKUP(A53,Tabla1[[N° Guia]:[Fin semana]],26,FALSE),"")</f>
        <v/>
      </c>
      <c r="E53" s="132" t="str">
        <f>IF(A53&lt;&gt;"",VLOOKUP(A53,Tabla1[[N° Guia]:[Fin semana]],27,FALSE),"")</f>
        <v/>
      </c>
      <c r="F53" s="132" t="str">
        <f>IF(A53&lt;&gt;"",VLOOKUP(A53,Tabla1[[N° Guia]:[Fin semana]],28,FALSE),"")</f>
        <v/>
      </c>
      <c r="G53" s="132" t="str">
        <f>IF(A53&lt;&gt;"",VLOOKUP(A53,Tabla1[[N° Guia]:[Fin semana]],29,FALSE),"")</f>
        <v/>
      </c>
      <c r="H53" s="132" t="str">
        <f>IF(A53&lt;&gt;"",VLOOKUP(A53,Tabla1[[N° Guia]:[Fin semana]],30,FALSE),"")</f>
        <v/>
      </c>
      <c r="I53" s="134"/>
      <c r="J53" s="266"/>
      <c r="K53" s="366"/>
      <c r="L53" s="132" t="str">
        <f>IF(J53&lt;&gt;"",VLOOKUP(J53,Tabla1[[N° Guia2]:[Fin semana10]],31,FALSE),"")</f>
        <v/>
      </c>
      <c r="M53" s="132" t="str">
        <f>IF(J53&lt;&gt;"",VLOOKUP(J53,Tabla1[[N° Guia2]:[Fin semana10]],32,FALSE),"")</f>
        <v/>
      </c>
      <c r="N53" s="132" t="str">
        <f>IF(J53&lt;&gt;"",VLOOKUP(J53,Tabla1[[N° Guia2]:[Fin semana10]],33,FALSE),"")</f>
        <v/>
      </c>
      <c r="O53" s="132" t="str">
        <f>IF(J53&lt;&gt;"",VLOOKUP(J53,Tabla1[[N° Guia2]:[Fin semana10]],34,FALSE),"")</f>
        <v/>
      </c>
      <c r="P53" s="132" t="str">
        <f>IF(J53&lt;&gt;"",VLOOKUP(J53,Tabla1[[N° Guia2]:[Fin semana10]],35,FALSE),"")</f>
        <v/>
      </c>
      <c r="Q53" s="132" t="str">
        <f>IF(J53&lt;&gt;"",VLOOKUP(J53,Tabla1[[N° Guia2]:[Fin semana10]],36,FALSE),"")</f>
        <v/>
      </c>
      <c r="R53" s="132" t="str">
        <f>IF(J53&lt;&gt;"",VLOOKUP(J53,Tabla1[[N° Guia2]:[Fin semana10]],37,FALSE),"")</f>
        <v/>
      </c>
      <c r="S53" s="292" t="str">
        <f>IF(J53&lt;&gt;"",VLOOKUP(J53,Tabla1[[N° Guia2]:[Fin semana10]],36,FALSE),"")</f>
        <v/>
      </c>
      <c r="T53" s="77"/>
      <c r="U53" s="78"/>
      <c r="V53" s="78"/>
      <c r="W53" s="78"/>
      <c r="X53" s="78"/>
      <c r="Y53" s="78"/>
      <c r="Z53" s="81"/>
      <c r="AC53" s="53" t="s">
        <v>1</v>
      </c>
      <c r="AD53" s="54">
        <v>0</v>
      </c>
      <c r="AE53" s="53" t="s">
        <v>1</v>
      </c>
      <c r="AF53" s="54">
        <v>0</v>
      </c>
      <c r="AG53" s="53" t="s">
        <v>1</v>
      </c>
      <c r="AH53" s="54">
        <v>0</v>
      </c>
      <c r="AI53" s="82"/>
      <c r="AJ53" s="53" t="s">
        <v>1</v>
      </c>
      <c r="AK53" s="54">
        <v>0</v>
      </c>
      <c r="AL53" s="53" t="s">
        <v>1</v>
      </c>
      <c r="AM53" s="54">
        <v>0</v>
      </c>
      <c r="AN53" s="53" t="s">
        <v>1</v>
      </c>
      <c r="AO53" s="54">
        <v>0</v>
      </c>
    </row>
    <row r="54" spans="1:41" ht="18">
      <c r="A54" s="266"/>
      <c r="B54" s="132" t="str">
        <f>IF(A54&lt;&gt;"",VLOOKUP(A54,Tabla1[[N° Guia]:[Fin semana]],25,FALSE),"")</f>
        <v/>
      </c>
      <c r="C54" s="132"/>
      <c r="D54" s="133" t="str">
        <f>IF(A54&lt;&gt;"",VLOOKUP(A54,Tabla1[[N° Guia]:[Fin semana]],26,FALSE),"")</f>
        <v/>
      </c>
      <c r="E54" s="132" t="str">
        <f>IF(A54&lt;&gt;"",VLOOKUP(A54,Tabla1[[N° Guia]:[Fin semana]],27,FALSE),"")</f>
        <v/>
      </c>
      <c r="F54" s="132" t="str">
        <f>IF(A54&lt;&gt;"",VLOOKUP(A54,Tabla1[[N° Guia]:[Fin semana]],28,FALSE),"")</f>
        <v/>
      </c>
      <c r="G54" s="132" t="str">
        <f>IF(A54&lt;&gt;"",VLOOKUP(A54,Tabla1[[N° Guia]:[Fin semana]],29,FALSE),"")</f>
        <v/>
      </c>
      <c r="H54" s="132" t="str">
        <f>IF(A54&lt;&gt;"",VLOOKUP(A54,Tabla1[[N° Guia]:[Fin semana]],30,FALSE),"")</f>
        <v/>
      </c>
      <c r="I54" s="134"/>
      <c r="J54" s="266"/>
      <c r="K54" s="366"/>
      <c r="L54" s="132" t="str">
        <f>IF(J54&lt;&gt;"",VLOOKUP(J54,Tabla1[[N° Guia2]:[Fin semana10]],31,FALSE),"")</f>
        <v/>
      </c>
      <c r="M54" s="132" t="str">
        <f>IF(J54&lt;&gt;"",VLOOKUP(J54,Tabla1[[N° Guia2]:[Fin semana10]],32,FALSE),"")</f>
        <v/>
      </c>
      <c r="N54" s="132" t="str">
        <f>IF(J54&lt;&gt;"",VLOOKUP(J54,Tabla1[[N° Guia2]:[Fin semana10]],33,FALSE),"")</f>
        <v/>
      </c>
      <c r="O54" s="132" t="str">
        <f>IF(J54&lt;&gt;"",VLOOKUP(J54,Tabla1[[N° Guia2]:[Fin semana10]],34,FALSE),"")</f>
        <v/>
      </c>
      <c r="P54" s="132" t="str">
        <f>IF(J54&lt;&gt;"",VLOOKUP(J54,Tabla1[[N° Guia2]:[Fin semana10]],35,FALSE),"")</f>
        <v/>
      </c>
      <c r="Q54" s="132" t="str">
        <f>IF(J54&lt;&gt;"",VLOOKUP(J54,Tabla1[[N° Guia2]:[Fin semana10]],36,FALSE),"")</f>
        <v/>
      </c>
      <c r="R54" s="132" t="str">
        <f>IF(J54&lt;&gt;"",VLOOKUP(J54,Tabla1[[N° Guia2]:[Fin semana10]],37,FALSE),"")</f>
        <v/>
      </c>
      <c r="S54" s="292" t="str">
        <f>IF(J54&lt;&gt;"",VLOOKUP(J54,Tabla1[[N° Guia2]:[Fin semana10]],36,FALSE),"")</f>
        <v/>
      </c>
      <c r="T54" s="18"/>
      <c r="U54" s="78"/>
      <c r="V54" s="78"/>
      <c r="W54" s="78"/>
      <c r="X54" s="78"/>
      <c r="Y54" s="78"/>
      <c r="Z54" s="81"/>
      <c r="AA54" s="146"/>
      <c r="AC54" s="53" t="s">
        <v>27</v>
      </c>
      <c r="AD54" s="54">
        <f>ROUND(AD53*16%,2)</f>
        <v>0</v>
      </c>
      <c r="AE54" s="53" t="s">
        <v>27</v>
      </c>
      <c r="AF54" s="54">
        <f>ROUND(AF53*16%,2)</f>
        <v>0</v>
      </c>
      <c r="AG54" s="53" t="s">
        <v>27</v>
      </c>
      <c r="AH54" s="54">
        <f>ROUND(AH53*16%,2)</f>
        <v>0</v>
      </c>
      <c r="AI54" s="82"/>
      <c r="AJ54" s="53" t="s">
        <v>27</v>
      </c>
      <c r="AK54" s="54">
        <f>ROUND(AK53*16%,2)</f>
        <v>0</v>
      </c>
      <c r="AL54" s="53" t="s">
        <v>27</v>
      </c>
      <c r="AM54" s="54">
        <f>ROUND(AM53*16%,2)</f>
        <v>0</v>
      </c>
      <c r="AN54" s="53" t="s">
        <v>27</v>
      </c>
      <c r="AO54" s="54">
        <f>ROUND(AO53*16%,2)</f>
        <v>0</v>
      </c>
    </row>
    <row r="55" spans="1:41" ht="21" customHeight="1">
      <c r="A55" s="266"/>
      <c r="B55" s="132" t="str">
        <f>IF(A55&lt;&gt;"",VLOOKUP(A55,Tabla1[[N° Guia]:[Fin semana]],25,FALSE),"")</f>
        <v/>
      </c>
      <c r="C55" s="132"/>
      <c r="D55" s="133" t="str">
        <f>IF(A55&lt;&gt;"",VLOOKUP(A55,Tabla1[[N° Guia]:[Fin semana]],26,FALSE),"")</f>
        <v/>
      </c>
      <c r="E55" s="132" t="str">
        <f>IF(A55&lt;&gt;"",VLOOKUP(A55,Tabla1[[N° Guia]:[Fin semana]],27,FALSE),"")</f>
        <v/>
      </c>
      <c r="F55" s="132" t="str">
        <f>IF(A55&lt;&gt;"",VLOOKUP(A55,Tabla1[[N° Guia]:[Fin semana]],28,FALSE),"")</f>
        <v/>
      </c>
      <c r="G55" s="132" t="str">
        <f>IF(A55&lt;&gt;"",VLOOKUP(A55,Tabla1[[N° Guia]:[Fin semana]],29,FALSE),"")</f>
        <v/>
      </c>
      <c r="H55" s="132" t="str">
        <f>IF(A55&lt;&gt;"",VLOOKUP(A55,Tabla1[[N° Guia]:[Fin semana]],30,FALSE),"")</f>
        <v/>
      </c>
      <c r="I55" s="134"/>
      <c r="J55" s="266"/>
      <c r="K55" s="366"/>
      <c r="L55" s="132" t="str">
        <f>IF(J55&lt;&gt;"",VLOOKUP(J55,Tabla1[[N° Guia2]:[Fin semana10]],31,FALSE),"")</f>
        <v/>
      </c>
      <c r="M55" s="132" t="str">
        <f>IF(J55&lt;&gt;"",VLOOKUP(J55,Tabla1[[N° Guia2]:[Fin semana10]],32,FALSE),"")</f>
        <v/>
      </c>
      <c r="N55" s="132" t="str">
        <f>IF(J55&lt;&gt;"",VLOOKUP(J55,Tabla1[[N° Guia2]:[Fin semana10]],33,FALSE),"")</f>
        <v/>
      </c>
      <c r="O55" s="132" t="str">
        <f>IF(J55&lt;&gt;"",VLOOKUP(J55,Tabla1[[N° Guia2]:[Fin semana10]],34,FALSE),"")</f>
        <v/>
      </c>
      <c r="P55" s="132" t="str">
        <f>IF(J55&lt;&gt;"",VLOOKUP(J55,Tabla1[[N° Guia2]:[Fin semana10]],35,FALSE),"")</f>
        <v/>
      </c>
      <c r="Q55" s="132" t="str">
        <f>IF(J55&lt;&gt;"",VLOOKUP(J55,Tabla1[[N° Guia2]:[Fin semana10]],36,FALSE),"")</f>
        <v/>
      </c>
      <c r="R55" s="132" t="str">
        <f>IF(J55&lt;&gt;"",VLOOKUP(J55,Tabla1[[N° Guia2]:[Fin semana10]],37,FALSE),"")</f>
        <v/>
      </c>
      <c r="S55" s="292" t="str">
        <f>IF(J55&lt;&gt;"",VLOOKUP(J55,Tabla1[[N° Guia2]:[Fin semana10]],36,FALSE),"")</f>
        <v/>
      </c>
      <c r="T55" s="16"/>
      <c r="AC55" s="55" t="s">
        <v>0</v>
      </c>
      <c r="AD55" s="57">
        <f>ROUND(+AD53+AD52+AD54,2)</f>
        <v>1878.3</v>
      </c>
      <c r="AE55" s="19" t="s">
        <v>0</v>
      </c>
      <c r="AF55" s="56">
        <f>ROUND(+AF53+AF52+AF54,2)</f>
        <v>340.41</v>
      </c>
      <c r="AG55" s="19" t="s">
        <v>0</v>
      </c>
      <c r="AH55" s="56">
        <f>ROUND(+AH53+AH52+AH54,2)</f>
        <v>39.69</v>
      </c>
      <c r="AI55" s="375"/>
      <c r="AJ55" s="55" t="s">
        <v>0</v>
      </c>
      <c r="AK55" s="57">
        <f>ROUND(+AK53+AK52+AK54,2)</f>
        <v>1878.3</v>
      </c>
      <c r="AL55" s="19" t="s">
        <v>0</v>
      </c>
      <c r="AM55" s="56">
        <f>ROUND(+AM53+AM52+AM54,2)</f>
        <v>340.41</v>
      </c>
      <c r="AN55" s="19" t="s">
        <v>0</v>
      </c>
      <c r="AO55" s="56">
        <f>ROUND(+AO53+AO52+AO54,2)</f>
        <v>39.69</v>
      </c>
    </row>
    <row r="56" spans="1:41" ht="14.25">
      <c r="A56" s="266"/>
      <c r="B56" s="132" t="str">
        <f>IF(A56&lt;&gt;"",VLOOKUP(A56,Tabla1[[N° Guia]:[Fin semana]],25,FALSE),"")</f>
        <v/>
      </c>
      <c r="C56" s="132"/>
      <c r="D56" s="133" t="str">
        <f>IF(A56&lt;&gt;"",VLOOKUP(A56,Tabla1[[N° Guia]:[Fin semana]],26,FALSE),"")</f>
        <v/>
      </c>
      <c r="E56" s="132" t="str">
        <f>IF(A56&lt;&gt;"",VLOOKUP(A56,Tabla1[[N° Guia]:[Fin semana]],27,FALSE),"")</f>
        <v/>
      </c>
      <c r="F56" s="132" t="str">
        <f>IF(A56&lt;&gt;"",VLOOKUP(A56,Tabla1[[N° Guia]:[Fin semana]],28,FALSE),"")</f>
        <v/>
      </c>
      <c r="G56" s="132" t="str">
        <f>IF(A56&lt;&gt;"",VLOOKUP(A56,Tabla1[[N° Guia]:[Fin semana]],29,FALSE),"")</f>
        <v/>
      </c>
      <c r="H56" s="132" t="str">
        <f>IF(A56&lt;&gt;"",VLOOKUP(A56,Tabla1[[N° Guia]:[Fin semana]],30,FALSE),"")</f>
        <v/>
      </c>
      <c r="I56" s="134"/>
      <c r="J56" s="266"/>
      <c r="K56" s="366"/>
      <c r="L56" s="132" t="str">
        <f>IF(J56&lt;&gt;"",VLOOKUP(J56,Tabla1[[N° Guia2]:[Fin semana10]],31,FALSE),"")</f>
        <v/>
      </c>
      <c r="M56" s="132" t="str">
        <f>IF(J56&lt;&gt;"",VLOOKUP(J56,Tabla1[[N° Guia2]:[Fin semana10]],32,FALSE),"")</f>
        <v/>
      </c>
      <c r="N56" s="132" t="str">
        <f>IF(J56&lt;&gt;"",VLOOKUP(J56,Tabla1[[N° Guia2]:[Fin semana10]],33,FALSE),"")</f>
        <v/>
      </c>
      <c r="O56" s="132" t="str">
        <f>IF(J56&lt;&gt;"",VLOOKUP(J56,Tabla1[[N° Guia2]:[Fin semana10]],34,FALSE),"")</f>
        <v/>
      </c>
      <c r="P56" s="132" t="str">
        <f>IF(J56&lt;&gt;"",VLOOKUP(J56,Tabla1[[N° Guia2]:[Fin semana10]],35,FALSE),"")</f>
        <v/>
      </c>
      <c r="Q56" s="132" t="str">
        <f>IF(J56&lt;&gt;"",VLOOKUP(J56,Tabla1[[N° Guia2]:[Fin semana10]],36,FALSE),"")</f>
        <v/>
      </c>
      <c r="R56" s="132" t="str">
        <f>IF(J56&lt;&gt;"",VLOOKUP(J56,Tabla1[[N° Guia2]:[Fin semana10]],37,FALSE),"")</f>
        <v/>
      </c>
      <c r="S56" s="292" t="str">
        <f>IF(J56&lt;&gt;"",VLOOKUP(J56,Tabla1[[N° Guia2]:[Fin semana10]],36,FALSE),"")</f>
        <v/>
      </c>
      <c r="T56" s="76"/>
    </row>
    <row r="57" spans="1:41" ht="18">
      <c r="A57" s="266"/>
      <c r="B57" s="132" t="str">
        <f>IF(A57&lt;&gt;"",VLOOKUP(A57,Tabla1[[N° Guia]:[Fin semana]],25,FALSE),"")</f>
        <v/>
      </c>
      <c r="C57" s="132"/>
      <c r="D57" s="133" t="str">
        <f>IF(A57&lt;&gt;"",VLOOKUP(A57,Tabla1[[N° Guia]:[Fin semana]],26,FALSE),"")</f>
        <v/>
      </c>
      <c r="E57" s="132" t="str">
        <f>IF(A57&lt;&gt;"",VLOOKUP(A57,Tabla1[[N° Guia]:[Fin semana]],27,FALSE),"")</f>
        <v/>
      </c>
      <c r="F57" s="132" t="str">
        <f>IF(A57&lt;&gt;"",VLOOKUP(A57,Tabla1[[N° Guia]:[Fin semana]],28,FALSE),"")</f>
        <v/>
      </c>
      <c r="G57" s="132" t="str">
        <f>IF(A57&lt;&gt;"",VLOOKUP(A57,Tabla1[[N° Guia]:[Fin semana]],29,FALSE),"")</f>
        <v/>
      </c>
      <c r="H57" s="132" t="str">
        <f>IF(A57&lt;&gt;"",VLOOKUP(A57,Tabla1[[N° Guia]:[Fin semana]],30,FALSE),"")</f>
        <v/>
      </c>
      <c r="I57" s="134"/>
      <c r="J57" s="266"/>
      <c r="K57" s="366"/>
      <c r="L57" s="132" t="str">
        <f>IF(J57&lt;&gt;"",VLOOKUP(J57,Tabla1[[N° Guia2]:[Fin semana10]],31,FALSE),"")</f>
        <v/>
      </c>
      <c r="M57" s="132" t="str">
        <f>IF(J57&lt;&gt;"",VLOOKUP(J57,Tabla1[[N° Guia2]:[Fin semana10]],32,FALSE),"")</f>
        <v/>
      </c>
      <c r="N57" s="132" t="str">
        <f>IF(J57&lt;&gt;"",VLOOKUP(J57,Tabla1[[N° Guia2]:[Fin semana10]],33,FALSE),"")</f>
        <v/>
      </c>
      <c r="O57" s="132" t="str">
        <f>IF(J57&lt;&gt;"",VLOOKUP(J57,Tabla1[[N° Guia2]:[Fin semana10]],34,FALSE),"")</f>
        <v/>
      </c>
      <c r="P57" s="132" t="str">
        <f>IF(J57&lt;&gt;"",VLOOKUP(J57,Tabla1[[N° Guia2]:[Fin semana10]],35,FALSE),"")</f>
        <v/>
      </c>
      <c r="Q57" s="132" t="str">
        <f>IF(J57&lt;&gt;"",VLOOKUP(J57,Tabla1[[N° Guia2]:[Fin semana10]],36,FALSE),"")</f>
        <v/>
      </c>
      <c r="R57" s="132" t="str">
        <f>IF(J57&lt;&gt;"",VLOOKUP(J57,Tabla1[[N° Guia2]:[Fin semana10]],37,FALSE),"")</f>
        <v/>
      </c>
      <c r="S57" s="292" t="str">
        <f>IF(J57&lt;&gt;"",VLOOKUP(J57,Tabla1[[N° Guia2]:[Fin semana10]],36,FALSE),"")</f>
        <v/>
      </c>
      <c r="T57" s="77"/>
    </row>
    <row r="58" spans="1:41">
      <c r="A58" s="266"/>
      <c r="B58" s="132" t="str">
        <f>IF(A58&lt;&gt;"",VLOOKUP(A58,Tabla1[[N° Guia]:[Fin semana]],25,FALSE),"")</f>
        <v/>
      </c>
      <c r="C58" s="132"/>
      <c r="D58" s="133" t="str">
        <f>IF(A58&lt;&gt;"",VLOOKUP(A58,Tabla1[[N° Guia]:[Fin semana]],26,FALSE),"")</f>
        <v/>
      </c>
      <c r="E58" s="132" t="str">
        <f>IF(A58&lt;&gt;"",VLOOKUP(A58,Tabla1[[N° Guia]:[Fin semana]],27,FALSE),"")</f>
        <v/>
      </c>
      <c r="F58" s="132"/>
      <c r="G58" s="132"/>
      <c r="H58" s="132"/>
      <c r="I58" s="134"/>
      <c r="J58" s="266"/>
      <c r="K58" s="366"/>
      <c r="L58" s="132" t="str">
        <f>IF(J58&lt;&gt;"",VLOOKUP(J58,Tabla1[[N° Guia2]:[Fin semana10]],31,FALSE),"")</f>
        <v/>
      </c>
      <c r="M58" s="132" t="str">
        <f>IF(J58&lt;&gt;"",VLOOKUP(J58,Tabla1[[N° Guia2]:[Fin semana10]],32,FALSE),"")</f>
        <v/>
      </c>
      <c r="N58" s="132" t="str">
        <f>IF(J58&lt;&gt;"",VLOOKUP(J58,Tabla1[[N° Guia2]:[Fin semana10]],33,FALSE),"")</f>
        <v/>
      </c>
      <c r="O58" s="132" t="str">
        <f>IF(J58&lt;&gt;"",VLOOKUP(J58,Tabla1[[N° Guia2]:[Fin semana10]],34,FALSE),"")</f>
        <v/>
      </c>
      <c r="P58" s="132" t="str">
        <f>IF(J58&lt;&gt;"",VLOOKUP(J58,Tabla1[[N° Guia2]:[Fin semana10]],35,FALSE),"")</f>
        <v/>
      </c>
      <c r="Q58" s="132" t="str">
        <f>IF(J58&lt;&gt;"",VLOOKUP(J58,Tabla1[[N° Guia2]:[Fin semana10]],36,FALSE),"")</f>
        <v/>
      </c>
      <c r="R58" s="132" t="str">
        <f>IF(J58&lt;&gt;"",VLOOKUP(J58,Tabla1[[N° Guia2]:[Fin semana10]],37,FALSE),"")</f>
        <v/>
      </c>
      <c r="S58" s="292" t="str">
        <f>IF(J58&lt;&gt;"",VLOOKUP(J58,Tabla1[[N° Guia2]:[Fin semana10]],36,FALSE),"")</f>
        <v/>
      </c>
      <c r="T58" s="80"/>
    </row>
    <row r="59" spans="1:41" ht="18">
      <c r="A59" s="266"/>
      <c r="B59" s="132" t="str">
        <f>IF(A59&lt;&gt;"",VLOOKUP(A59,Tabla1[[N° Guia]:[Fin semana]],25,FALSE),"")</f>
        <v/>
      </c>
      <c r="C59" s="132"/>
      <c r="D59" s="133" t="str">
        <f>IF(A59&lt;&gt;"",VLOOKUP(A59,Tabla1[[N° Guia]:[Fin semana]],26,FALSE),"")</f>
        <v/>
      </c>
      <c r="E59" s="132" t="str">
        <f>IF(A59&lt;&gt;"",VLOOKUP(A59,Tabla1[[N° Guia]:[Fin semana]],27,FALSE),"")</f>
        <v/>
      </c>
      <c r="F59" s="132"/>
      <c r="G59" s="132"/>
      <c r="H59" s="132"/>
      <c r="I59" s="134"/>
      <c r="J59" s="266"/>
      <c r="K59" s="366"/>
      <c r="L59" s="132" t="str">
        <f>IF(J59&lt;&gt;"",VLOOKUP(J59,Tabla1[[N° Guia2]:[Fin semana10]],31,FALSE),"")</f>
        <v/>
      </c>
      <c r="M59" s="132" t="str">
        <f>IF(J59&lt;&gt;"",VLOOKUP(J59,Tabla1[[N° Guia2]:[Fin semana10]],32,FALSE),"")</f>
        <v/>
      </c>
      <c r="N59" s="132" t="str">
        <f>IF(J59&lt;&gt;"",VLOOKUP(J59,Tabla1[[N° Guia2]:[Fin semana10]],33,FALSE),"")</f>
        <v/>
      </c>
      <c r="O59" s="132" t="str">
        <f>IF(J59&lt;&gt;"",VLOOKUP(J59,Tabla1[[N° Guia2]:[Fin semana10]],34,FALSE),"")</f>
        <v/>
      </c>
      <c r="P59" s="132" t="str">
        <f>IF(J59&lt;&gt;"",VLOOKUP(J59,Tabla1[[N° Guia2]:[Fin semana10]],35,FALSE),"")</f>
        <v/>
      </c>
      <c r="Q59" s="132" t="str">
        <f>IF(J59&lt;&gt;"",VLOOKUP(J59,Tabla1[[N° Guia2]:[Fin semana10]],36,FALSE),"")</f>
        <v/>
      </c>
      <c r="R59" s="132" t="str">
        <f>IF(J59&lt;&gt;"",VLOOKUP(J59,Tabla1[[N° Guia2]:[Fin semana10]],37,FALSE),"")</f>
        <v/>
      </c>
      <c r="S59" s="292" t="str">
        <f>IF(J59&lt;&gt;"",VLOOKUP(J59,Tabla1[[N° Guia2]:[Fin semana10]],36,FALSE),"")</f>
        <v/>
      </c>
      <c r="T59" s="77"/>
    </row>
    <row r="60" spans="1:41" ht="18">
      <c r="A60" s="266"/>
      <c r="B60" s="132" t="str">
        <f>IF(A60&lt;&gt;"",VLOOKUP(A60,Tabla1[[N° Guia]:[Fin semana]],25,FALSE),"")</f>
        <v/>
      </c>
      <c r="C60" s="132"/>
      <c r="D60" s="133" t="str">
        <f>IF(A60&lt;&gt;"",VLOOKUP(A60,Tabla1[[N° Guia]:[Fin semana]],26,FALSE),"")</f>
        <v/>
      </c>
      <c r="E60" s="132" t="str">
        <f>IF(A60&lt;&gt;"",VLOOKUP(A60,Tabla1[[N° Guia]:[Fin semana]],27,FALSE),"")</f>
        <v/>
      </c>
      <c r="F60" s="132"/>
      <c r="G60" s="132"/>
      <c r="H60" s="132"/>
      <c r="I60" s="134"/>
      <c r="J60" s="266"/>
      <c r="K60" s="366"/>
      <c r="L60" s="132" t="str">
        <f>IF(J60&lt;&gt;"",VLOOKUP(J60,Tabla1[[N° Guia2]:[Fin semana10]],31,FALSE),"")</f>
        <v/>
      </c>
      <c r="M60" s="132" t="str">
        <f>IF(J60&lt;&gt;"",VLOOKUP(J60,Tabla1[[N° Guia2]:[Fin semana10]],32,FALSE),"")</f>
        <v/>
      </c>
      <c r="N60" s="132" t="str">
        <f>IF(J60&lt;&gt;"",VLOOKUP(J60,Tabla1[[N° Guia2]:[Fin semana10]],33,FALSE),"")</f>
        <v/>
      </c>
      <c r="O60" s="132" t="str">
        <f>IF(J60&lt;&gt;"",VLOOKUP(J60,Tabla1[[N° Guia2]:[Fin semana10]],34,FALSE),"")</f>
        <v/>
      </c>
      <c r="P60" s="132" t="str">
        <f>IF(J60&lt;&gt;"",VLOOKUP(J60,Tabla1[[N° Guia2]:[Fin semana10]],35,FALSE),"")</f>
        <v/>
      </c>
      <c r="Q60" s="132" t="str">
        <f>IF(J60&lt;&gt;"",VLOOKUP(J60,Tabla1[[N° Guia2]:[Fin semana10]],36,FALSE),"")</f>
        <v/>
      </c>
      <c r="R60" s="132" t="str">
        <f>IF(J60&lt;&gt;"",VLOOKUP(J60,Tabla1[[N° Guia2]:[Fin semana10]],37,FALSE),"")</f>
        <v/>
      </c>
      <c r="S60" s="292" t="str">
        <f>IF(J60&lt;&gt;"",VLOOKUP(J60,Tabla1[[N° Guia2]:[Fin semana10]],36,FALSE),"")</f>
        <v/>
      </c>
      <c r="T60" s="77"/>
    </row>
    <row r="61" spans="1:41" ht="18">
      <c r="A61" s="266"/>
      <c r="B61" s="132" t="str">
        <f>IF(A61&lt;&gt;"",VLOOKUP(A61,Tabla1[[N° Guia]:[Fin semana]],25,FALSE),"")</f>
        <v/>
      </c>
      <c r="C61" s="132"/>
      <c r="D61" s="133" t="str">
        <f>IF(A61&lt;&gt;"",VLOOKUP(A61,Tabla1[[N° Guia]:[Fin semana]],26,FALSE),"")</f>
        <v/>
      </c>
      <c r="E61" s="132" t="str">
        <f>IF(A61&lt;&gt;"",VLOOKUP(A61,Tabla1[[N° Guia]:[Fin semana]],27,FALSE),"")</f>
        <v/>
      </c>
      <c r="F61" s="132"/>
      <c r="G61" s="132"/>
      <c r="H61" s="132"/>
      <c r="I61" s="134"/>
      <c r="J61" s="266"/>
      <c r="K61" s="366"/>
      <c r="L61" s="132" t="str">
        <f>IF(J61&lt;&gt;"",VLOOKUP(J61,Tabla1[[N° Guia2]:[Fin semana10]],31,FALSE),"")</f>
        <v/>
      </c>
      <c r="M61" s="132" t="str">
        <f>IF(J61&lt;&gt;"",VLOOKUP(J61,Tabla1[[N° Guia2]:[Fin semana10]],32,FALSE),"")</f>
        <v/>
      </c>
      <c r="N61" s="132" t="str">
        <f>IF(J61&lt;&gt;"",VLOOKUP(J61,Tabla1[[N° Guia2]:[Fin semana10]],33,FALSE),"")</f>
        <v/>
      </c>
      <c r="O61" s="132" t="str">
        <f>IF(J61&lt;&gt;"",VLOOKUP(J61,Tabla1[[N° Guia2]:[Fin semana10]],34,FALSE),"")</f>
        <v/>
      </c>
      <c r="P61" s="132" t="str">
        <f>IF(J61&lt;&gt;"",VLOOKUP(J61,Tabla1[[N° Guia2]:[Fin semana10]],35,FALSE),"")</f>
        <v/>
      </c>
      <c r="Q61" s="132" t="str">
        <f>IF(J61&lt;&gt;"",VLOOKUP(J61,Tabla1[[N° Guia2]:[Fin semana10]],36,FALSE),"")</f>
        <v/>
      </c>
      <c r="R61" s="132" t="str">
        <f>IF(J61&lt;&gt;"",VLOOKUP(J61,Tabla1[[N° Guia2]:[Fin semana10]],37,FALSE),"")</f>
        <v/>
      </c>
      <c r="S61" s="292" t="str">
        <f>IF(J61&lt;&gt;"",VLOOKUP(J61,Tabla1[[N° Guia2]:[Fin semana10]],36,FALSE),"")</f>
        <v/>
      </c>
      <c r="T61" s="18"/>
    </row>
    <row r="62" spans="1:41" ht="14.25">
      <c r="A62" s="266"/>
      <c r="B62" s="132" t="str">
        <f>IF(A62&lt;&gt;"",VLOOKUP(A62,Tabla1[[N° Guia]:[Fin semana]],25,FALSE),"")</f>
        <v/>
      </c>
      <c r="C62" s="132"/>
      <c r="D62" s="133" t="str">
        <f>IF(A62&lt;&gt;"",VLOOKUP(A62,Tabla1[[N° Guia]:[Fin semana]],26,FALSE),"")</f>
        <v/>
      </c>
      <c r="E62" s="132" t="str">
        <f>IF(A62&lt;&gt;"",VLOOKUP(A62,Tabla1[[N° Guia]:[Fin semana]],27,FALSE),"")</f>
        <v/>
      </c>
      <c r="F62" s="132"/>
      <c r="G62" s="132"/>
      <c r="H62" s="132"/>
      <c r="I62" s="134"/>
      <c r="J62" s="266"/>
      <c r="K62" s="366"/>
      <c r="L62" s="132" t="str">
        <f>IF(J62&lt;&gt;"",VLOOKUP(J62,Tabla1[[N° Guia2]:[Fin semana10]],31,FALSE),"")</f>
        <v/>
      </c>
      <c r="M62" s="132" t="str">
        <f>IF(J62&lt;&gt;"",VLOOKUP(J62,Tabla1[[N° Guia2]:[Fin semana10]],32,FALSE),"")</f>
        <v/>
      </c>
      <c r="N62" s="132" t="str">
        <f>IF(J62&lt;&gt;"",VLOOKUP(J62,Tabla1[[N° Guia2]:[Fin semana10]],33,FALSE),"")</f>
        <v/>
      </c>
      <c r="O62" s="132" t="str">
        <f>IF(J62&lt;&gt;"",VLOOKUP(J62,Tabla1[[N° Guia2]:[Fin semana10]],34,FALSE),"")</f>
        <v/>
      </c>
      <c r="P62" s="132" t="str">
        <f>IF(J62&lt;&gt;"",VLOOKUP(J62,Tabla1[[N° Guia2]:[Fin semana10]],35,FALSE),"")</f>
        <v/>
      </c>
      <c r="Q62" s="132" t="str">
        <f>IF(J62&lt;&gt;"",VLOOKUP(J62,Tabla1[[N° Guia2]:[Fin semana10]],36,FALSE),"")</f>
        <v/>
      </c>
      <c r="R62" s="132" t="str">
        <f>IF(J62&lt;&gt;"",VLOOKUP(J62,Tabla1[[N° Guia2]:[Fin semana10]],37,FALSE),"")</f>
        <v/>
      </c>
      <c r="S62" s="292" t="str">
        <f>IF(J62&lt;&gt;"",VLOOKUP(J62,Tabla1[[N° Guia2]:[Fin semana10]],36,FALSE),"")</f>
        <v/>
      </c>
      <c r="T62" s="16"/>
    </row>
    <row r="63" spans="1:41" ht="14.25">
      <c r="A63" s="266"/>
      <c r="B63" s="132" t="str">
        <f>IF(A63&lt;&gt;"",VLOOKUP(A63,Tabla1[[N° Guia]:[Fin semana]],25,FALSE),"")</f>
        <v/>
      </c>
      <c r="C63" s="132"/>
      <c r="D63" s="133" t="str">
        <f>IF(A63&lt;&gt;"",VLOOKUP(A63,Tabla1[[N° Guia]:[Fin semana]],26,FALSE),"")</f>
        <v/>
      </c>
      <c r="E63" s="132" t="str">
        <f>IF(A63&lt;&gt;"",VLOOKUP(A63,Tabla1[[N° Guia]:[Fin semana]],27,FALSE),"")</f>
        <v/>
      </c>
      <c r="F63" s="132"/>
      <c r="G63" s="132"/>
      <c r="H63" s="132"/>
      <c r="I63" s="134"/>
      <c r="J63" s="266"/>
      <c r="K63" s="366"/>
      <c r="L63" s="132" t="str">
        <f>IF(J63&lt;&gt;"",VLOOKUP(J63,Tabla1[[N° Guia2]:[Fin semana10]],31,FALSE),"")</f>
        <v/>
      </c>
      <c r="M63" s="132" t="str">
        <f>IF(J63&lt;&gt;"",VLOOKUP(J63,Tabla1[[N° Guia2]:[Fin semana10]],32,FALSE),"")</f>
        <v/>
      </c>
      <c r="N63" s="132" t="str">
        <f>IF(J63&lt;&gt;"",VLOOKUP(J63,Tabla1[[N° Guia2]:[Fin semana10]],33,FALSE),"")</f>
        <v/>
      </c>
      <c r="O63" s="132" t="str">
        <f>IF(J63&lt;&gt;"",VLOOKUP(J63,Tabla1[[N° Guia2]:[Fin semana10]],34,FALSE),"")</f>
        <v/>
      </c>
      <c r="P63" s="132" t="str">
        <f>IF(J63&lt;&gt;"",VLOOKUP(J63,Tabla1[[N° Guia2]:[Fin semana10]],35,FALSE),"")</f>
        <v/>
      </c>
      <c r="Q63" s="132" t="str">
        <f>IF(J63&lt;&gt;"",VLOOKUP(J63,Tabla1[[N° Guia2]:[Fin semana10]],36,FALSE),"")</f>
        <v/>
      </c>
      <c r="R63" s="132" t="str">
        <f>IF(J63&lt;&gt;"",VLOOKUP(J63,Tabla1[[N° Guia2]:[Fin semana10]],37,FALSE),"")</f>
        <v/>
      </c>
      <c r="S63" s="292" t="str">
        <f>IF(J63&lt;&gt;"",VLOOKUP(J63,Tabla1[[N° Guia2]:[Fin semana10]],36,FALSE),"")</f>
        <v/>
      </c>
      <c r="T63" s="76"/>
    </row>
    <row r="64" spans="1:41" ht="18">
      <c r="A64" s="266"/>
      <c r="B64" s="132" t="str">
        <f>IF(A64&lt;&gt;"",VLOOKUP(A64,Tabla1[[N° Guia]:[Fin semana]],25,FALSE),"")</f>
        <v/>
      </c>
      <c r="C64" s="132"/>
      <c r="D64" s="133" t="str">
        <f>IF(A64&lt;&gt;"",VLOOKUP(A64,Tabla1[[N° Guia]:[Fin semana]],26,FALSE),"")</f>
        <v/>
      </c>
      <c r="E64" s="132" t="str">
        <f>IF(A64&lt;&gt;"",VLOOKUP(A64,Tabla1[[N° Guia]:[Fin semana]],27,FALSE),"")</f>
        <v/>
      </c>
      <c r="F64" s="132"/>
      <c r="G64" s="132"/>
      <c r="H64" s="132"/>
      <c r="I64" s="134"/>
      <c r="J64" s="266"/>
      <c r="K64" s="366"/>
      <c r="L64" s="132" t="str">
        <f>IF(J64&lt;&gt;"",VLOOKUP(J64,Tabla1[[N° Guia2]:[Fin semana10]],31,FALSE),"")</f>
        <v/>
      </c>
      <c r="M64" s="132" t="str">
        <f>IF(J64&lt;&gt;"",VLOOKUP(J64,Tabla1[[N° Guia2]:[Fin semana10]],32,FALSE),"")</f>
        <v/>
      </c>
      <c r="N64" s="132" t="str">
        <f>IF(J64&lt;&gt;"",VLOOKUP(J64,Tabla1[[N° Guia2]:[Fin semana10]],33,FALSE),"")</f>
        <v/>
      </c>
      <c r="O64" s="132" t="str">
        <f>IF(J64&lt;&gt;"",VLOOKUP(J64,Tabla1[[N° Guia2]:[Fin semana10]],34,FALSE),"")</f>
        <v/>
      </c>
      <c r="P64" s="132" t="str">
        <f>IF(J64&lt;&gt;"",VLOOKUP(J64,Tabla1[[N° Guia2]:[Fin semana10]],35,FALSE),"")</f>
        <v/>
      </c>
      <c r="Q64" s="132" t="str">
        <f>IF(J64&lt;&gt;"",VLOOKUP(J64,Tabla1[[N° Guia2]:[Fin semana10]],36,FALSE),"")</f>
        <v/>
      </c>
      <c r="R64" s="132" t="str">
        <f>IF(J64&lt;&gt;"",VLOOKUP(J64,Tabla1[[N° Guia2]:[Fin semana10]],37,FALSE),"")</f>
        <v/>
      </c>
      <c r="S64" s="292" t="str">
        <f>IF(J64&lt;&gt;"",VLOOKUP(J64,Tabla1[[N° Guia2]:[Fin semana10]],36,FALSE),"")</f>
        <v/>
      </c>
      <c r="T64" s="77"/>
    </row>
    <row r="65" spans="1:20">
      <c r="A65" s="266"/>
      <c r="B65" s="132" t="str">
        <f>IF(A65&lt;&gt;"",VLOOKUP(A65,Tabla1[[N° Guia]:[Fin semana]],25,FALSE),"")</f>
        <v/>
      </c>
      <c r="C65" s="132"/>
      <c r="D65" s="133" t="str">
        <f>IF(A65&lt;&gt;"",VLOOKUP(A65,Tabla1[[N° Guia]:[Fin semana]],26,FALSE),"")</f>
        <v/>
      </c>
      <c r="E65" s="132" t="str">
        <f>IF(A65&lt;&gt;"",VLOOKUP(A65,Tabla1[[N° Guia]:[Fin semana]],27,FALSE),"")</f>
        <v/>
      </c>
      <c r="F65" s="132"/>
      <c r="G65" s="132"/>
      <c r="H65" s="132"/>
      <c r="I65" s="134"/>
      <c r="J65" s="266"/>
      <c r="K65" s="366"/>
      <c r="L65" s="132" t="str">
        <f>IF(J65&lt;&gt;"",VLOOKUP(J65,Tabla1[[N° Guia2]:[Fin semana10]],31,FALSE),"")</f>
        <v/>
      </c>
      <c r="M65" s="132" t="str">
        <f>IF(J65&lt;&gt;"",VLOOKUP(J65,Tabla1[[N° Guia2]:[Fin semana10]],32,FALSE),"")</f>
        <v/>
      </c>
      <c r="N65" s="132" t="str">
        <f>IF(J65&lt;&gt;"",VLOOKUP(J65,Tabla1[[N° Guia2]:[Fin semana10]],33,FALSE),"")</f>
        <v/>
      </c>
      <c r="O65" s="132" t="str">
        <f>IF(J65&lt;&gt;"",VLOOKUP(J65,Tabla1[[N° Guia2]:[Fin semana10]],34,FALSE),"")</f>
        <v/>
      </c>
      <c r="P65" s="132" t="str">
        <f>IF(J65&lt;&gt;"",VLOOKUP(J65,Tabla1[[N° Guia2]:[Fin semana10]],35,FALSE),"")</f>
        <v/>
      </c>
      <c r="Q65" s="132" t="str">
        <f>IF(J65&lt;&gt;"",VLOOKUP(J65,Tabla1[[N° Guia2]:[Fin semana10]],36,FALSE),"")</f>
        <v/>
      </c>
      <c r="R65" s="132" t="str">
        <f>IF(J65&lt;&gt;"",VLOOKUP(J65,Tabla1[[N° Guia2]:[Fin semana10]],37,FALSE),"")</f>
        <v/>
      </c>
      <c r="S65" s="292" t="str">
        <f>IF(J65&lt;&gt;"",VLOOKUP(J65,Tabla1[[N° Guia2]:[Fin semana10]],36,FALSE),"")</f>
        <v/>
      </c>
      <c r="T65" s="80"/>
    </row>
    <row r="66" spans="1:20" ht="18">
      <c r="A66" s="266"/>
      <c r="B66" s="132" t="str">
        <f>IF(A66&lt;&gt;"",VLOOKUP(A66,Tabla1[[N° Guia]:[Fin semana]],25,FALSE),"")</f>
        <v/>
      </c>
      <c r="C66" s="132"/>
      <c r="D66" s="133" t="str">
        <f>IF(A66&lt;&gt;"",VLOOKUP(A66,Tabla1[[N° Guia]:[Fin semana]],26,FALSE),"")</f>
        <v/>
      </c>
      <c r="E66" s="132" t="str">
        <f>IF(A66&lt;&gt;"",VLOOKUP(A66,Tabla1[[N° Guia]:[Fin semana]],27,FALSE),"")</f>
        <v/>
      </c>
      <c r="F66" s="132"/>
      <c r="G66" s="132"/>
      <c r="H66" s="132"/>
      <c r="I66" s="134"/>
      <c r="J66" s="266"/>
      <c r="K66" s="366"/>
      <c r="L66" s="132" t="str">
        <f>IF(J66&lt;&gt;"",VLOOKUP(J66,Tabla1[[N° Guia2]:[Fin semana10]],31,FALSE),"")</f>
        <v/>
      </c>
      <c r="M66" s="132" t="str">
        <f>IF(J66&lt;&gt;"",VLOOKUP(J66,Tabla1[[N° Guia2]:[Fin semana10]],32,FALSE),"")</f>
        <v/>
      </c>
      <c r="N66" s="132" t="str">
        <f>IF(J66&lt;&gt;"",VLOOKUP(J66,Tabla1[[N° Guia2]:[Fin semana10]],33,FALSE),"")</f>
        <v/>
      </c>
      <c r="O66" s="132" t="str">
        <f>IF(J66&lt;&gt;"",VLOOKUP(J66,Tabla1[[N° Guia2]:[Fin semana10]],34,FALSE),"")</f>
        <v/>
      </c>
      <c r="P66" s="132" t="str">
        <f>IF(J66&lt;&gt;"",VLOOKUP(J66,Tabla1[[N° Guia2]:[Fin semana10]],35,FALSE),"")</f>
        <v/>
      </c>
      <c r="Q66" s="132" t="str">
        <f>IF(J66&lt;&gt;"",VLOOKUP(J66,Tabla1[[N° Guia2]:[Fin semana10]],36,FALSE),"")</f>
        <v/>
      </c>
      <c r="R66" s="132" t="str">
        <f>IF(J66&lt;&gt;"",VLOOKUP(J66,Tabla1[[N° Guia2]:[Fin semana10]],37,FALSE),"")</f>
        <v/>
      </c>
      <c r="S66" s="292" t="str">
        <f>IF(J66&lt;&gt;"",VLOOKUP(J66,Tabla1[[N° Guia2]:[Fin semana10]],36,FALSE),"")</f>
        <v/>
      </c>
      <c r="T66" s="77"/>
    </row>
    <row r="67" spans="1:20" ht="18">
      <c r="A67" s="266"/>
      <c r="B67" s="132" t="str">
        <f>IF(A67&lt;&gt;"",VLOOKUP(A67,Tabla1[[N° Guia]:[Fin semana]],25,FALSE),"")</f>
        <v/>
      </c>
      <c r="C67" s="132"/>
      <c r="D67" s="133" t="str">
        <f>IF(A67&lt;&gt;"",VLOOKUP(A67,Tabla1[[N° Guia]:[Fin semana]],26,FALSE),"")</f>
        <v/>
      </c>
      <c r="E67" s="132" t="str">
        <f>IF(A67&lt;&gt;"",VLOOKUP(A67,Tabla1[[N° Guia]:[Fin semana]],27,FALSE),"")</f>
        <v/>
      </c>
      <c r="F67" s="132"/>
      <c r="G67" s="132"/>
      <c r="H67" s="132"/>
      <c r="I67" s="134"/>
      <c r="J67" s="266"/>
      <c r="K67" s="366"/>
      <c r="L67" s="132" t="str">
        <f>IF(J67&lt;&gt;"",VLOOKUP(J67,Tabla1[[N° Guia2]:[Fin semana10]],31,FALSE),"")</f>
        <v/>
      </c>
      <c r="M67" s="132" t="str">
        <f>IF(J67&lt;&gt;"",VLOOKUP(J67,Tabla1[[N° Guia2]:[Fin semana10]],32,FALSE),"")</f>
        <v/>
      </c>
      <c r="N67" s="132" t="str">
        <f>IF(J67&lt;&gt;"",VLOOKUP(J67,Tabla1[[N° Guia2]:[Fin semana10]],33,FALSE),"")</f>
        <v/>
      </c>
      <c r="O67" s="132" t="str">
        <f>IF(J67&lt;&gt;"",VLOOKUP(J67,Tabla1[[N° Guia2]:[Fin semana10]],34,FALSE),"")</f>
        <v/>
      </c>
      <c r="P67" s="132" t="str">
        <f>IF(J67&lt;&gt;"",VLOOKUP(J67,Tabla1[[N° Guia2]:[Fin semana10]],35,FALSE),"")</f>
        <v/>
      </c>
      <c r="Q67" s="132" t="str">
        <f>IF(J67&lt;&gt;"",VLOOKUP(J67,Tabla1[[N° Guia2]:[Fin semana10]],36,FALSE),"")</f>
        <v/>
      </c>
      <c r="R67" s="132" t="str">
        <f>IF(J67&lt;&gt;"",VLOOKUP(J67,Tabla1[[N° Guia2]:[Fin semana10]],37,FALSE),"")</f>
        <v/>
      </c>
      <c r="S67" s="292" t="str">
        <f>IF(J67&lt;&gt;"",VLOOKUP(J67,Tabla1[[N° Guia2]:[Fin semana10]],36,FALSE),"")</f>
        <v/>
      </c>
      <c r="T67" s="77"/>
    </row>
    <row r="68" spans="1:20" ht="18">
      <c r="A68" s="279"/>
      <c r="B68" s="132" t="str">
        <f>IF(A68&lt;&gt;"",VLOOKUP(A68,Tabla1[[N° Guia]:[Fin semana]],25,FALSE),"")</f>
        <v/>
      </c>
      <c r="C68" s="132"/>
      <c r="D68" s="133" t="str">
        <f>IF(A68&lt;&gt;"",VLOOKUP(A68,Tabla1[[N° Guia]:[Fin semana]],26,FALSE),"")</f>
        <v/>
      </c>
      <c r="E68" s="132" t="str">
        <f>IF(A68&lt;&gt;"",VLOOKUP(A68,Tabla1[[N° Guia]:[Fin semana]],27,FALSE),"")</f>
        <v/>
      </c>
      <c r="F68" s="132"/>
      <c r="G68" s="132"/>
      <c r="H68" s="132"/>
      <c r="I68" s="134"/>
      <c r="J68" s="280"/>
      <c r="K68" s="280"/>
      <c r="L68" s="132" t="str">
        <f>IF(J68&lt;&gt;"",VLOOKUP(J68,Tabla1[[N° Guia2]:[Fin semana10]],31,FALSE),"")</f>
        <v/>
      </c>
      <c r="M68" s="132" t="str">
        <f>IF(J68&lt;&gt;"",VLOOKUP(J68,Tabla1[[N° Guia2]:[Fin semana10]],32,FALSE),"")</f>
        <v/>
      </c>
      <c r="N68" s="132" t="str">
        <f>IF(J68&lt;&gt;"",VLOOKUP(J68,Tabla1[[N° Guia2]:[Fin semana10]],33,FALSE),"")</f>
        <v/>
      </c>
      <c r="O68" s="132" t="str">
        <f>IF(J68&lt;&gt;"",VLOOKUP(J68,Tabla1[[N° Guia2]:[Fin semana10]],34,FALSE),"")</f>
        <v/>
      </c>
      <c r="P68" s="132" t="str">
        <f>IF(J68&lt;&gt;"",VLOOKUP(J68,Tabla1[[N° Guia2]:[Fin semana10]],35,FALSE),"")</f>
        <v/>
      </c>
      <c r="Q68" s="132" t="str">
        <f>IF(J68&lt;&gt;"",VLOOKUP(J68,Tabla1[[N° Guia2]:[Fin semana10]],36,FALSE),"")</f>
        <v/>
      </c>
      <c r="R68" s="132" t="str">
        <f>IF(J68&lt;&gt;"",VLOOKUP(J68,Tabla1[[N° Guia2]:[Fin semana10]],37,FALSE),"")</f>
        <v/>
      </c>
      <c r="S68" s="292" t="str">
        <f>IF(J68&lt;&gt;"",VLOOKUP(J68,Tabla1[[N° Guia2]:[Fin semana10]],36,FALSE),"")</f>
        <v/>
      </c>
      <c r="T68" s="18"/>
    </row>
    <row r="69" spans="1:20" ht="14.25">
      <c r="A69" s="279"/>
      <c r="B69" s="132" t="str">
        <f>IF(A69&lt;&gt;"",VLOOKUP(A69,Tabla1[[N° Guia]:[Fin semana]],25,FALSE),"")</f>
        <v/>
      </c>
      <c r="C69" s="132"/>
      <c r="D69" s="133" t="str">
        <f>IF(A69&lt;&gt;"",VLOOKUP(A69,Tabla1[[N° Guia]:[Fin semana]],26,FALSE),"")</f>
        <v/>
      </c>
      <c r="E69" s="132" t="str">
        <f>IF(A69&lt;&gt;"",VLOOKUP(A69,Tabla1[[N° Guia]:[Fin semana]],27,FALSE),"")</f>
        <v/>
      </c>
      <c r="F69" s="132"/>
      <c r="G69" s="132"/>
      <c r="H69" s="132"/>
      <c r="I69" s="134"/>
      <c r="J69" s="280"/>
      <c r="K69" s="280"/>
      <c r="L69" s="132" t="str">
        <f>IF(J69&lt;&gt;"",VLOOKUP(J69,Tabla1[[N° Guia2]:[Fin semana10]],31,FALSE),"")</f>
        <v/>
      </c>
      <c r="M69" s="132" t="str">
        <f>IF(J69&lt;&gt;"",VLOOKUP(J69,Tabla1[[N° Guia2]:[Fin semana10]],32,FALSE),"")</f>
        <v/>
      </c>
      <c r="N69" s="132" t="str">
        <f>IF(J69&lt;&gt;"",VLOOKUP(J69,Tabla1[[N° Guia2]:[Fin semana10]],33,FALSE),"")</f>
        <v/>
      </c>
      <c r="O69" s="132" t="str">
        <f>IF(J69&lt;&gt;"",VLOOKUP(J69,Tabla1[[N° Guia2]:[Fin semana10]],34,FALSE),"")</f>
        <v/>
      </c>
      <c r="P69" s="132" t="str">
        <f>IF(J69&lt;&gt;"",VLOOKUP(J69,Tabla1[[N° Guia2]:[Fin semana10]],35,FALSE),"")</f>
        <v/>
      </c>
      <c r="Q69" s="132" t="str">
        <f>IF(J69&lt;&gt;"",VLOOKUP(J69,Tabla1[[N° Guia2]:[Fin semana10]],36,FALSE),"")</f>
        <v/>
      </c>
      <c r="R69" s="132" t="str">
        <f>IF(J69&lt;&gt;"",VLOOKUP(J69,Tabla1[[N° Guia2]:[Fin semana10]],37,FALSE),"")</f>
        <v/>
      </c>
      <c r="S69" s="292" t="str">
        <f>IF(J69&lt;&gt;"",VLOOKUP(J69,Tabla1[[N° Guia2]:[Fin semana10]],36,FALSE),"")</f>
        <v/>
      </c>
      <c r="T69" s="16"/>
    </row>
    <row r="70" spans="1:20" ht="14.25">
      <c r="A70" s="279"/>
      <c r="B70" s="132" t="str">
        <f>IF(A70&lt;&gt;"",VLOOKUP(A70,Tabla1[[N° Guia]:[Fin semana]],25,FALSE),"")</f>
        <v/>
      </c>
      <c r="C70" s="132"/>
      <c r="D70" s="133" t="str">
        <f>IF(A70&lt;&gt;"",VLOOKUP(A70,Tabla1[[N° Guia]:[Fin semana]],26,FALSE),"")</f>
        <v/>
      </c>
      <c r="E70" s="132" t="str">
        <f>IF(A70&lt;&gt;"",VLOOKUP(A70,Tabla1[[N° Guia]:[Fin semana]],27,FALSE),"")</f>
        <v/>
      </c>
      <c r="F70" s="132"/>
      <c r="G70" s="132"/>
      <c r="H70" s="132"/>
      <c r="I70" s="134"/>
      <c r="J70" s="280"/>
      <c r="K70" s="280"/>
      <c r="L70" s="132" t="str">
        <f>IF(J70&lt;&gt;"",VLOOKUP(J70,Tabla1[[N° Guia2]:[Fin semana10]],31,FALSE),"")</f>
        <v/>
      </c>
      <c r="M70" s="132" t="str">
        <f>IF(J70&lt;&gt;"",VLOOKUP(J70,Tabla1[[N° Guia2]:[Fin semana10]],32,FALSE),"")</f>
        <v/>
      </c>
      <c r="N70" s="132" t="str">
        <f>IF(J70&lt;&gt;"",VLOOKUP(J70,Tabla1[[N° Guia2]:[Fin semana10]],33,FALSE),"")</f>
        <v/>
      </c>
      <c r="O70" s="132" t="str">
        <f>IF(J70&lt;&gt;"",VLOOKUP(J70,Tabla1[[N° Guia2]:[Fin semana10]],34,FALSE),"")</f>
        <v/>
      </c>
      <c r="P70" s="132" t="str">
        <f>IF(J70&lt;&gt;"",VLOOKUP(J70,Tabla1[[N° Guia2]:[Fin semana10]],35,FALSE),"")</f>
        <v/>
      </c>
      <c r="Q70" s="132" t="str">
        <f>IF(J70&lt;&gt;"",VLOOKUP(J70,Tabla1[[N° Guia2]:[Fin semana10]],36,FALSE),"")</f>
        <v/>
      </c>
      <c r="R70" s="132" t="str">
        <f>IF(J70&lt;&gt;"",VLOOKUP(J70,Tabla1[[N° Guia2]:[Fin semana10]],37,FALSE),"")</f>
        <v/>
      </c>
      <c r="S70" s="292" t="str">
        <f>IF(J70&lt;&gt;"",VLOOKUP(J70,Tabla1[[N° Guia2]:[Fin semana10]],36,FALSE),"")</f>
        <v/>
      </c>
      <c r="T70" s="76"/>
    </row>
    <row r="71" spans="1:20" ht="18">
      <c r="A71" s="279"/>
      <c r="B71" s="132" t="str">
        <f>IF(A71&lt;&gt;"",VLOOKUP(A71,Tabla1[[N° Guia]:[Fin semana]],25,FALSE),"")</f>
        <v/>
      </c>
      <c r="C71" s="132"/>
      <c r="D71" s="133" t="str">
        <f>IF(A71&lt;&gt;"",VLOOKUP(A71,Tabla1[[N° Guia]:[Fin semana]],26,FALSE),"")</f>
        <v/>
      </c>
      <c r="E71" s="132" t="str">
        <f>IF(A71&lt;&gt;"",VLOOKUP(A71,Tabla1[[N° Guia]:[Fin semana]],27,FALSE),"")</f>
        <v/>
      </c>
      <c r="F71" s="132"/>
      <c r="G71" s="132"/>
      <c r="H71" s="132"/>
      <c r="I71" s="134"/>
      <c r="J71" s="280"/>
      <c r="K71" s="280"/>
      <c r="L71" s="132" t="str">
        <f>IF(J71&lt;&gt;"",VLOOKUP(J71,Tabla1[[N° Guia2]:[Fin semana10]],31,FALSE),"")</f>
        <v/>
      </c>
      <c r="M71" s="132" t="str">
        <f>IF(J71&lt;&gt;"",VLOOKUP(J71,Tabla1[[N° Guia2]:[Fin semana10]],32,FALSE),"")</f>
        <v/>
      </c>
      <c r="N71" s="132" t="str">
        <f>IF(J71&lt;&gt;"",VLOOKUP(J71,Tabla1[[N° Guia2]:[Fin semana10]],33,FALSE),"")</f>
        <v/>
      </c>
      <c r="O71" s="132" t="str">
        <f>IF(J71&lt;&gt;"",VLOOKUP(J71,Tabla1[[N° Guia2]:[Fin semana10]],34,FALSE),"")</f>
        <v/>
      </c>
      <c r="P71" s="132" t="str">
        <f>IF(J71&lt;&gt;"",VLOOKUP(J71,Tabla1[[N° Guia2]:[Fin semana10]],35,FALSE),"")</f>
        <v/>
      </c>
      <c r="Q71" s="132" t="str">
        <f>IF(J71&lt;&gt;"",VLOOKUP(J71,Tabla1[[N° Guia2]:[Fin semana10]],36,FALSE),"")</f>
        <v/>
      </c>
      <c r="R71" s="132" t="str">
        <f>IF(J71&lt;&gt;"",VLOOKUP(J71,Tabla1[[N° Guia2]:[Fin semana10]],37,FALSE),"")</f>
        <v/>
      </c>
      <c r="S71" s="292" t="str">
        <f>IF(J71&lt;&gt;"",VLOOKUP(J71,Tabla1[[N° Guia2]:[Fin semana10]],36,FALSE),"")</f>
        <v/>
      </c>
      <c r="T71" s="77"/>
    </row>
    <row r="72" spans="1:20">
      <c r="A72" s="279"/>
      <c r="B72" s="132" t="str">
        <f>IF(A72&lt;&gt;"",VLOOKUP(A72,Tabla1[[N° Guia]:[Fin semana]],25,FALSE),"")</f>
        <v/>
      </c>
      <c r="C72" s="132"/>
      <c r="D72" s="133" t="str">
        <f>IF(A72&lt;&gt;"",VLOOKUP(A72,Tabla1[[N° Guia]:[Fin semana]],26,FALSE),"")</f>
        <v/>
      </c>
      <c r="E72" s="132" t="str">
        <f>IF(A72&lt;&gt;"",VLOOKUP(A72,Tabla1[[N° Guia]:[Fin semana]],27,FALSE),"")</f>
        <v/>
      </c>
      <c r="F72" s="132"/>
      <c r="G72" s="132"/>
      <c r="H72" s="132"/>
      <c r="I72" s="134"/>
      <c r="J72" s="280"/>
      <c r="K72" s="280"/>
      <c r="L72" s="132" t="str">
        <f>IF(J72&lt;&gt;"",VLOOKUP(J72,Tabla1[[N° Guia2]:[Fin semana10]],31,FALSE),"")</f>
        <v/>
      </c>
      <c r="M72" s="132" t="str">
        <f>IF(J72&lt;&gt;"",VLOOKUP(J72,Tabla1[[N° Guia2]:[Fin semana10]],32,FALSE),"")</f>
        <v/>
      </c>
      <c r="N72" s="132" t="str">
        <f>IF(J72&lt;&gt;"",VLOOKUP(J72,Tabla1[[N° Guia2]:[Fin semana10]],33,FALSE),"")</f>
        <v/>
      </c>
      <c r="O72" s="132" t="str">
        <f>IF(J72&lt;&gt;"",VLOOKUP(J72,Tabla1[[N° Guia2]:[Fin semana10]],34,FALSE),"")</f>
        <v/>
      </c>
      <c r="P72" s="132" t="str">
        <f>IF(J72&lt;&gt;"",VLOOKUP(J72,Tabla1[[N° Guia2]:[Fin semana10]],35,FALSE),"")</f>
        <v/>
      </c>
      <c r="Q72" s="132" t="str">
        <f>IF(J72&lt;&gt;"",VLOOKUP(J72,Tabla1[[N° Guia2]:[Fin semana10]],36,FALSE),"")</f>
        <v/>
      </c>
      <c r="R72" s="132" t="str">
        <f>IF(J72&lt;&gt;"",VLOOKUP(J72,Tabla1[[N° Guia2]:[Fin semana10]],37,FALSE),"")</f>
        <v/>
      </c>
      <c r="S72" s="292" t="str">
        <f>IF(J72&lt;&gt;"",VLOOKUP(J72,Tabla1[[N° Guia2]:[Fin semana10]],36,FALSE),"")</f>
        <v/>
      </c>
      <c r="T72" s="80"/>
    </row>
    <row r="73" spans="1:20" ht="18">
      <c r="R73" s="18"/>
      <c r="S73" s="36"/>
      <c r="T73" s="83"/>
    </row>
    <row r="74" spans="1:20" ht="19.5" thickBot="1">
      <c r="F74" s="433"/>
      <c r="G74" s="434"/>
      <c r="H74" s="434"/>
      <c r="I74" s="434"/>
      <c r="J74" s="434"/>
      <c r="K74" s="367"/>
      <c r="R74" s="18"/>
      <c r="S74" s="36"/>
      <c r="T74" s="83"/>
    </row>
    <row r="75" spans="1:20" ht="18">
      <c r="B75" s="441" t="s">
        <v>4</v>
      </c>
      <c r="C75" s="442"/>
      <c r="D75" s="442"/>
      <c r="E75" s="443"/>
      <c r="G75" s="444" t="s">
        <v>396</v>
      </c>
      <c r="H75" s="445"/>
      <c r="I75" s="446"/>
      <c r="L75" s="444" t="s">
        <v>3</v>
      </c>
      <c r="M75" s="445"/>
      <c r="N75" s="446"/>
      <c r="O75" s="286"/>
      <c r="R75" s="18"/>
      <c r="S75" s="32"/>
      <c r="T75" s="18"/>
    </row>
    <row r="76" spans="1:20" ht="18.75">
      <c r="B76" s="139" t="s">
        <v>47</v>
      </c>
      <c r="C76" s="359"/>
      <c r="D76" s="447">
        <f>AD51</f>
        <v>1878.3</v>
      </c>
      <c r="E76" s="436"/>
      <c r="G76" s="139" t="s">
        <v>47</v>
      </c>
      <c r="H76" s="435">
        <f>AH51</f>
        <v>39.69</v>
      </c>
      <c r="I76" s="436"/>
      <c r="L76" s="139" t="s">
        <v>47</v>
      </c>
      <c r="M76" s="435">
        <f>AF51</f>
        <v>340.41000000000008</v>
      </c>
      <c r="N76" s="436"/>
      <c r="O76" s="285"/>
      <c r="R76" s="61"/>
      <c r="S76" s="16"/>
      <c r="T76" s="16"/>
    </row>
    <row r="77" spans="1:20" ht="18">
      <c r="B77" s="139" t="s">
        <v>2</v>
      </c>
      <c r="C77" s="359"/>
      <c r="D77" s="447">
        <f>AD52</f>
        <v>1878.3</v>
      </c>
      <c r="E77" s="436"/>
      <c r="G77" s="139" t="s">
        <v>2</v>
      </c>
      <c r="H77" s="435">
        <f>AH52</f>
        <v>39.69</v>
      </c>
      <c r="I77" s="436"/>
      <c r="L77" s="139" t="s">
        <v>2</v>
      </c>
      <c r="M77" s="435">
        <f>AF52</f>
        <v>340.41000000000008</v>
      </c>
      <c r="N77" s="436"/>
      <c r="O77" s="285"/>
      <c r="R77" s="18"/>
      <c r="S77" s="16"/>
      <c r="T77" s="76"/>
    </row>
    <row r="78" spans="1:20" ht="18">
      <c r="B78" s="139" t="s">
        <v>1</v>
      </c>
      <c r="C78" s="359"/>
      <c r="D78" s="447">
        <f>AD53</f>
        <v>0</v>
      </c>
      <c r="E78" s="436"/>
      <c r="G78" s="139" t="s">
        <v>1</v>
      </c>
      <c r="H78" s="435">
        <f>AH53</f>
        <v>0</v>
      </c>
      <c r="I78" s="436"/>
      <c r="L78" s="139" t="s">
        <v>1</v>
      </c>
      <c r="M78" s="435">
        <f>AF53</f>
        <v>0</v>
      </c>
      <c r="N78" s="436"/>
      <c r="O78" s="285"/>
      <c r="R78" s="18"/>
      <c r="S78" s="36"/>
      <c r="T78" s="77"/>
    </row>
    <row r="79" spans="1:20" ht="18">
      <c r="B79" s="139" t="s">
        <v>27</v>
      </c>
      <c r="C79" s="359"/>
      <c r="D79" s="447">
        <f>ROUND(D78*16%,2)</f>
        <v>0</v>
      </c>
      <c r="E79" s="436"/>
      <c r="G79" s="139" t="s">
        <v>27</v>
      </c>
      <c r="H79" s="435">
        <f>AH54</f>
        <v>0</v>
      </c>
      <c r="I79" s="436"/>
      <c r="L79" s="139" t="s">
        <v>27</v>
      </c>
      <c r="M79" s="435">
        <f>AF54</f>
        <v>0</v>
      </c>
      <c r="N79" s="436"/>
      <c r="O79" s="285"/>
      <c r="R79" s="18"/>
      <c r="S79" s="36"/>
      <c r="T79" s="80"/>
    </row>
    <row r="80" spans="1:20" ht="18.75" thickBot="1">
      <c r="B80" s="140" t="s">
        <v>0</v>
      </c>
      <c r="C80" s="360"/>
      <c r="D80" s="437">
        <f>ROUND(+D78+D77+D79,2)</f>
        <v>1878.3</v>
      </c>
      <c r="E80" s="438"/>
      <c r="G80" s="141" t="s">
        <v>0</v>
      </c>
      <c r="H80" s="437">
        <f>AH55</f>
        <v>39.69</v>
      </c>
      <c r="I80" s="438"/>
      <c r="L80" s="141" t="s">
        <v>0</v>
      </c>
      <c r="M80" s="437">
        <f>AF55</f>
        <v>340.41</v>
      </c>
      <c r="N80" s="438"/>
      <c r="O80" s="287"/>
      <c r="R80" s="18"/>
      <c r="S80" s="36"/>
      <c r="T80" s="77"/>
    </row>
    <row r="81" spans="1:20" ht="18">
      <c r="R81" s="18"/>
      <c r="S81" s="36"/>
      <c r="T81" s="77"/>
    </row>
    <row r="82" spans="1:20" ht="17.100000000000001" customHeight="1">
      <c r="B82" s="148" t="s">
        <v>187</v>
      </c>
      <c r="C82" s="148"/>
      <c r="D82" s="9" t="s">
        <v>188</v>
      </c>
      <c r="R82" s="18"/>
      <c r="S82" s="32"/>
      <c r="T82" s="18"/>
    </row>
    <row r="83" spans="1:20" ht="17.100000000000001" customHeight="1">
      <c r="B83" s="148" t="s">
        <v>20</v>
      </c>
      <c r="C83" s="148"/>
      <c r="D83" s="9" t="s">
        <v>228</v>
      </c>
    </row>
    <row r="84" spans="1:20" ht="17.100000000000001" customHeight="1">
      <c r="B84" s="148" t="s">
        <v>189</v>
      </c>
      <c r="C84" s="148"/>
      <c r="D84" s="9" t="s">
        <v>190</v>
      </c>
      <c r="M84" s="33" t="s">
        <v>193</v>
      </c>
    </row>
    <row r="85" spans="1:20" ht="17.100000000000001" customHeight="1">
      <c r="B85" s="148" t="s">
        <v>191</v>
      </c>
      <c r="C85" s="148"/>
      <c r="D85" s="9" t="s">
        <v>192</v>
      </c>
      <c r="M85" s="33" t="s">
        <v>193</v>
      </c>
    </row>
    <row r="86" spans="1:20" ht="17.100000000000001" customHeight="1">
      <c r="B86" s="148" t="s">
        <v>194</v>
      </c>
      <c r="C86" s="148"/>
      <c r="D86" s="9" t="s">
        <v>195</v>
      </c>
      <c r="M86" s="33" t="s">
        <v>193</v>
      </c>
    </row>
    <row r="87" spans="1:20" ht="17.100000000000001" customHeight="1">
      <c r="B87" s="148" t="s">
        <v>196</v>
      </c>
      <c r="C87" s="148"/>
      <c r="D87" s="9" t="s">
        <v>197</v>
      </c>
      <c r="M87" s="33" t="s">
        <v>193</v>
      </c>
    </row>
    <row r="88" spans="1:20" ht="17.100000000000001" customHeight="1">
      <c r="D88" s="9"/>
      <c r="E88" s="9"/>
      <c r="G88" s="9"/>
      <c r="H88" s="9"/>
      <c r="I88" s="9"/>
      <c r="J88" s="9"/>
      <c r="K88" s="33"/>
      <c r="L88" s="9"/>
    </row>
    <row r="89" spans="1:20" ht="17.100000000000001" customHeight="1">
      <c r="B89" s="9" t="s">
        <v>198</v>
      </c>
      <c r="D89" s="9"/>
      <c r="E89" s="9"/>
      <c r="G89" s="9"/>
      <c r="H89" s="9"/>
      <c r="I89" s="9"/>
      <c r="J89" s="9"/>
      <c r="K89" s="33"/>
      <c r="L89" s="9"/>
    </row>
    <row r="90" spans="1:20" ht="17.100000000000001" customHeight="1" thickBot="1">
      <c r="D90" s="9"/>
      <c r="E90" s="9"/>
      <c r="G90" s="9"/>
      <c r="H90" s="9"/>
      <c r="I90" s="9"/>
      <c r="J90" s="9"/>
      <c r="K90" s="33"/>
      <c r="L90" s="9"/>
    </row>
    <row r="91" spans="1:20" ht="17.100000000000001" customHeight="1">
      <c r="A91" s="149"/>
      <c r="B91" s="414" t="s">
        <v>199</v>
      </c>
      <c r="C91" s="415"/>
      <c r="D91" s="415"/>
      <c r="E91" s="415"/>
      <c r="F91" s="415"/>
      <c r="G91" s="415"/>
      <c r="H91" s="415"/>
      <c r="I91" s="415"/>
      <c r="J91" s="415"/>
      <c r="K91" s="415"/>
      <c r="L91" s="415"/>
      <c r="M91" s="415"/>
      <c r="N91" s="416"/>
      <c r="O91" s="288"/>
      <c r="P91" s="149"/>
    </row>
    <row r="92" spans="1:20" ht="17.100000000000001" customHeight="1" thickBot="1">
      <c r="A92" s="149"/>
      <c r="B92" s="417"/>
      <c r="C92" s="418"/>
      <c r="D92" s="418"/>
      <c r="E92" s="418"/>
      <c r="F92" s="418"/>
      <c r="G92" s="418"/>
      <c r="H92" s="418"/>
      <c r="I92" s="418"/>
      <c r="J92" s="418"/>
      <c r="K92" s="418"/>
      <c r="L92" s="418"/>
      <c r="M92" s="418"/>
      <c r="N92" s="419"/>
      <c r="O92" s="288"/>
      <c r="P92" s="149"/>
    </row>
    <row r="93" spans="1:20" ht="17.100000000000001" customHeight="1">
      <c r="A93" s="149"/>
      <c r="B93" s="149" t="s">
        <v>200</v>
      </c>
      <c r="C93" s="149"/>
      <c r="D93" s="152">
        <f>Tabulador!M1</f>
        <v>1</v>
      </c>
      <c r="E93" s="153"/>
      <c r="F93" s="149"/>
      <c r="G93" s="154"/>
      <c r="H93" s="150"/>
      <c r="I93" s="155"/>
      <c r="J93" s="155"/>
      <c r="K93" s="155"/>
      <c r="L93" s="150"/>
      <c r="M93" s="151"/>
      <c r="N93" s="149"/>
      <c r="O93" s="149"/>
      <c r="P93" s="149"/>
    </row>
    <row r="94" spans="1:20" ht="17.100000000000001" customHeight="1">
      <c r="A94" s="149"/>
      <c r="B94" s="156"/>
      <c r="C94" s="156"/>
      <c r="D94" s="157"/>
      <c r="E94" s="153"/>
      <c r="F94" s="149"/>
      <c r="G94" s="154"/>
      <c r="H94" s="150"/>
      <c r="I94" s="155"/>
      <c r="J94" s="155"/>
      <c r="K94" s="155"/>
      <c r="L94" s="150"/>
      <c r="M94" s="151"/>
      <c r="N94" s="149"/>
      <c r="O94" s="149"/>
      <c r="P94" s="149"/>
    </row>
    <row r="95" spans="1:20" ht="18">
      <c r="A95" s="149"/>
      <c r="B95" s="158" t="s">
        <v>4</v>
      </c>
      <c r="C95" s="158"/>
      <c r="D95" s="157"/>
      <c r="E95" s="153"/>
      <c r="F95" s="149"/>
      <c r="G95" s="154"/>
      <c r="H95" s="150"/>
      <c r="I95" s="155"/>
      <c r="J95" s="155"/>
      <c r="K95" s="155"/>
      <c r="L95" s="150"/>
      <c r="M95" s="151"/>
      <c r="N95" s="149"/>
      <c r="O95" s="149"/>
      <c r="P95" s="149"/>
    </row>
    <row r="96" spans="1:20">
      <c r="A96" s="149"/>
      <c r="B96" s="424" t="s">
        <v>201</v>
      </c>
      <c r="C96" s="358"/>
      <c r="D96" s="425" t="s">
        <v>202</v>
      </c>
      <c r="E96" s="424" t="s">
        <v>203</v>
      </c>
      <c r="F96" s="181" t="s">
        <v>20</v>
      </c>
      <c r="G96" s="181" t="s">
        <v>204</v>
      </c>
      <c r="H96" s="426" t="s">
        <v>34</v>
      </c>
      <c r="I96" s="423" t="s">
        <v>37</v>
      </c>
      <c r="J96" s="423" t="s">
        <v>35</v>
      </c>
      <c r="K96" s="355"/>
      <c r="L96" s="422" t="s">
        <v>206</v>
      </c>
      <c r="M96" s="423" t="s">
        <v>38</v>
      </c>
      <c r="N96" s="424" t="s">
        <v>131</v>
      </c>
      <c r="O96" s="289"/>
      <c r="P96" s="159"/>
      <c r="Q96" s="147"/>
    </row>
    <row r="97" spans="1:16">
      <c r="A97" s="149"/>
      <c r="B97" s="424"/>
      <c r="C97" s="358"/>
      <c r="D97" s="425"/>
      <c r="E97" s="424"/>
      <c r="F97" s="182" t="s">
        <v>205</v>
      </c>
      <c r="G97" s="182" t="s">
        <v>207</v>
      </c>
      <c r="H97" s="426"/>
      <c r="I97" s="423"/>
      <c r="J97" s="423"/>
      <c r="K97" s="355"/>
      <c r="L97" s="422"/>
      <c r="M97" s="423"/>
      <c r="N97" s="424"/>
      <c r="O97" s="289"/>
      <c r="P97" s="149"/>
    </row>
    <row r="98" spans="1:16">
      <c r="A98" s="149"/>
      <c r="B98" s="170" t="str">
        <f>IF(A50&lt;&gt;"",A50,"")</f>
        <v/>
      </c>
      <c r="C98" s="361"/>
      <c r="D98" s="162" t="str">
        <f>IF(B98&lt;&gt;"",VLOOKUP(B98,Tabla1[[N° Guia]:[Destino]],4,FALSE),"")</f>
        <v/>
      </c>
      <c r="E98" s="163" t="str">
        <f>IF(B98&lt;&gt;"",VLOOKUP(B98,Tabla1[[N° Guia]:[BASE DE FLETE]],16,FALSE),"")</f>
        <v/>
      </c>
      <c r="F98" s="163" t="str">
        <f>IF(B98&lt;&gt;"",VLOOKUP(B98,$A$50:$I$72,2,FALSE),"")</f>
        <v/>
      </c>
      <c r="G98" s="163" t="str">
        <f>IF(B98&lt;&gt;"",VLOOKUP(B98,Tabla1[[N° Guia]:[FACTOR Bs/k]],23,FALSE),"")</f>
        <v/>
      </c>
      <c r="H98" s="164" t="str">
        <f>IF(B98&lt;&gt;"",VLOOKUP(B98,A50:I72,3,FALSE),"")</f>
        <v/>
      </c>
      <c r="I98" s="165" t="str">
        <f>IF(B98&lt;&gt;"",VLOOKUP(B98,A50:I72,4,FALSE),"")</f>
        <v/>
      </c>
      <c r="J98" s="165" t="str">
        <f>IF(B98&lt;&gt;"",VLOOKUP(B98,A50:I72,7,FALSE),"")</f>
        <v/>
      </c>
      <c r="K98" s="165"/>
      <c r="L98" s="164" t="str">
        <f>IF(B98&lt;&gt;"",VLOOKUP(B98,A50:I72,5,FALSE),"")</f>
        <v/>
      </c>
      <c r="M98" s="163" t="str">
        <f>IF(B98&lt;&gt;"",VLOOKUP(B98,A50:I72,6,FALSE),"")</f>
        <v/>
      </c>
      <c r="N98" s="171" t="str">
        <f>IF(B98&lt;&gt;"",VLOOKUP(B98,A50:I72,8,FALSE),"")</f>
        <v/>
      </c>
      <c r="O98" s="153"/>
      <c r="P98" s="149"/>
    </row>
    <row r="99" spans="1:16">
      <c r="A99" s="149"/>
      <c r="B99" s="172" t="str">
        <f t="shared" ref="B99:B106" si="4">IF(A51&lt;&gt;"",A51,"")</f>
        <v/>
      </c>
      <c r="C99" s="362"/>
      <c r="D99" s="166" t="str">
        <f>IF(B99&lt;&gt;"",VLOOKUP(B99,Tabla1[[N° Guia]:[Destino]],4,FALSE),"")</f>
        <v/>
      </c>
      <c r="E99" s="167" t="str">
        <f>IF(B99&lt;&gt;"",VLOOKUP(B99,Tabla1[[N° Guia]:[BASE DE FLETE]],16,FALSE),"")</f>
        <v/>
      </c>
      <c r="F99" s="167" t="str">
        <f t="shared" ref="F99:F106" si="5">IF(B99&lt;&gt;"",VLOOKUP(B99,$A$50:$I$72,2,FALSE),"")</f>
        <v/>
      </c>
      <c r="G99" s="167" t="str">
        <f>IF(B99&lt;&gt;"",VLOOKUP(B99,Tabla1[[N° Guia]:[FACTOR Bs/k]],23,FALSE),"")</f>
        <v/>
      </c>
      <c r="H99" s="168" t="str">
        <f t="shared" ref="H99:H106" si="6">IF(B99&lt;&gt;"",VLOOKUP(B99,A51:I73,3,FALSE),"")</f>
        <v/>
      </c>
      <c r="I99" s="169" t="str">
        <f t="shared" ref="I99:I106" si="7">IF(B99&lt;&gt;"",VLOOKUP(B99,A51:I73,4,FALSE),"")</f>
        <v/>
      </c>
      <c r="J99" s="169" t="str">
        <f t="shared" ref="J99:J106" si="8">IF(B99&lt;&gt;"",VLOOKUP(B99,A51:I73,7,FALSE),"")</f>
        <v/>
      </c>
      <c r="K99" s="169"/>
      <c r="L99" s="168" t="str">
        <f t="shared" ref="L99:L106" si="9">IF(B99&lt;&gt;"",VLOOKUP(B99,A51:I73,5,FALSE),"")</f>
        <v/>
      </c>
      <c r="M99" s="167" t="str">
        <f t="shared" ref="M99:M106" si="10">IF(B99&lt;&gt;"",VLOOKUP(B99,A51:I73,6,FALSE),"")</f>
        <v/>
      </c>
      <c r="N99" s="173" t="str">
        <f t="shared" ref="N99:N106" si="11">IF(B99&lt;&gt;"",VLOOKUP(B99,A51:I73,8,FALSE),"")</f>
        <v/>
      </c>
      <c r="O99" s="153"/>
      <c r="P99" s="149"/>
    </row>
    <row r="100" spans="1:16">
      <c r="A100" s="149"/>
      <c r="B100" s="172" t="str">
        <f t="shared" si="4"/>
        <v/>
      </c>
      <c r="C100" s="362"/>
      <c r="D100" s="166" t="str">
        <f>IF(B100&lt;&gt;"",VLOOKUP(B100,Tabla1[[N° Guia]:[Destino]],4,FALSE),"")</f>
        <v/>
      </c>
      <c r="E100" s="167" t="str">
        <f>IF(B100&lt;&gt;"",VLOOKUP(B100,Tabla1[[N° Guia]:[BASE DE FLETE]],16,FALSE),"")</f>
        <v/>
      </c>
      <c r="F100" s="167" t="str">
        <f t="shared" si="5"/>
        <v/>
      </c>
      <c r="G100" s="167" t="str">
        <f>IF(B100&lt;&gt;"",VLOOKUP(B100,Tabla1[[N° Guia]:[FACTOR Bs/k]],23,FALSE),"")</f>
        <v/>
      </c>
      <c r="H100" s="168" t="str">
        <f t="shared" si="6"/>
        <v/>
      </c>
      <c r="I100" s="169" t="str">
        <f t="shared" si="7"/>
        <v/>
      </c>
      <c r="J100" s="169" t="str">
        <f t="shared" si="8"/>
        <v/>
      </c>
      <c r="K100" s="169"/>
      <c r="L100" s="168" t="str">
        <f t="shared" si="9"/>
        <v/>
      </c>
      <c r="M100" s="167" t="str">
        <f t="shared" si="10"/>
        <v/>
      </c>
      <c r="N100" s="173" t="str">
        <f t="shared" si="11"/>
        <v/>
      </c>
      <c r="O100" s="153"/>
      <c r="P100" s="149"/>
    </row>
    <row r="101" spans="1:16">
      <c r="A101" s="149"/>
      <c r="B101" s="172" t="str">
        <f t="shared" si="4"/>
        <v/>
      </c>
      <c r="C101" s="362"/>
      <c r="D101" s="166" t="str">
        <f>IF(B101&lt;&gt;"",VLOOKUP(B101,Tabla1[[N° Guia]:[Destino]],4,FALSE),"")</f>
        <v/>
      </c>
      <c r="E101" s="167" t="str">
        <f>IF(B101&lt;&gt;"",VLOOKUP(B101,Tabla1[[N° Guia]:[BASE DE FLETE]],16,FALSE),"")</f>
        <v/>
      </c>
      <c r="F101" s="167" t="str">
        <f t="shared" si="5"/>
        <v/>
      </c>
      <c r="G101" s="167" t="str">
        <f>IF(B101&lt;&gt;"",VLOOKUP(B101,Tabla1[[N° Guia]:[FACTOR Bs/k]],23,FALSE),"")</f>
        <v/>
      </c>
      <c r="H101" s="168" t="str">
        <f t="shared" si="6"/>
        <v/>
      </c>
      <c r="I101" s="169" t="str">
        <f t="shared" si="7"/>
        <v/>
      </c>
      <c r="J101" s="169" t="str">
        <f t="shared" si="8"/>
        <v/>
      </c>
      <c r="K101" s="169"/>
      <c r="L101" s="168" t="str">
        <f t="shared" si="9"/>
        <v/>
      </c>
      <c r="M101" s="167" t="str">
        <f t="shared" si="10"/>
        <v/>
      </c>
      <c r="N101" s="173" t="str">
        <f t="shared" si="11"/>
        <v/>
      </c>
      <c r="O101" s="153"/>
      <c r="P101" s="149"/>
    </row>
    <row r="102" spans="1:16">
      <c r="A102" s="149"/>
      <c r="B102" s="172" t="str">
        <f t="shared" si="4"/>
        <v/>
      </c>
      <c r="C102" s="362"/>
      <c r="D102" s="166" t="str">
        <f>IF(B102&lt;&gt;"",VLOOKUP(B102,Tabla1[[N° Guia]:[Destino]],4,FALSE),"")</f>
        <v/>
      </c>
      <c r="E102" s="167" t="str">
        <f>IF(B102&lt;&gt;"",VLOOKUP(B102,Tabla1[[N° Guia]:[BASE DE FLETE]],16,FALSE),"")</f>
        <v/>
      </c>
      <c r="F102" s="167" t="str">
        <f t="shared" si="5"/>
        <v/>
      </c>
      <c r="G102" s="167" t="str">
        <f>IF(B102&lt;&gt;"",VLOOKUP(B102,Tabla1[[N° Guia]:[FACTOR Bs/k]],23,FALSE),"")</f>
        <v/>
      </c>
      <c r="H102" s="168" t="str">
        <f t="shared" si="6"/>
        <v/>
      </c>
      <c r="I102" s="169" t="str">
        <f t="shared" si="7"/>
        <v/>
      </c>
      <c r="J102" s="169" t="str">
        <f t="shared" si="8"/>
        <v/>
      </c>
      <c r="K102" s="169"/>
      <c r="L102" s="168" t="str">
        <f t="shared" si="9"/>
        <v/>
      </c>
      <c r="M102" s="167" t="str">
        <f t="shared" si="10"/>
        <v/>
      </c>
      <c r="N102" s="173" t="str">
        <f t="shared" si="11"/>
        <v/>
      </c>
      <c r="O102" s="153"/>
      <c r="P102" s="149"/>
    </row>
    <row r="103" spans="1:16">
      <c r="A103" s="149"/>
      <c r="B103" s="172" t="str">
        <f t="shared" si="4"/>
        <v/>
      </c>
      <c r="C103" s="362"/>
      <c r="D103" s="166" t="str">
        <f>IF(B103&lt;&gt;"",VLOOKUP(B103,Tabla1[[N° Guia]:[Destino]],4,FALSE),"")</f>
        <v/>
      </c>
      <c r="E103" s="167" t="str">
        <f>IF(B103&lt;&gt;"",VLOOKUP(B103,Tabla1[[N° Guia]:[BASE DE FLETE]],16,FALSE),"")</f>
        <v/>
      </c>
      <c r="F103" s="167" t="str">
        <f t="shared" si="5"/>
        <v/>
      </c>
      <c r="G103" s="167" t="str">
        <f>IF(B103&lt;&gt;"",VLOOKUP(B103,Tabla1[[N° Guia]:[FACTOR Bs/k]],23,FALSE),"")</f>
        <v/>
      </c>
      <c r="H103" s="168" t="str">
        <f t="shared" si="6"/>
        <v/>
      </c>
      <c r="I103" s="169" t="str">
        <f t="shared" si="7"/>
        <v/>
      </c>
      <c r="J103" s="169" t="str">
        <f t="shared" si="8"/>
        <v/>
      </c>
      <c r="K103" s="169"/>
      <c r="L103" s="168" t="str">
        <f t="shared" si="9"/>
        <v/>
      </c>
      <c r="M103" s="167" t="str">
        <f t="shared" si="10"/>
        <v/>
      </c>
      <c r="N103" s="173" t="str">
        <f t="shared" si="11"/>
        <v/>
      </c>
      <c r="O103" s="153"/>
      <c r="P103" s="149"/>
    </row>
    <row r="104" spans="1:16">
      <c r="A104" s="149"/>
      <c r="B104" s="172" t="str">
        <f t="shared" si="4"/>
        <v/>
      </c>
      <c r="C104" s="362"/>
      <c r="D104" s="166" t="str">
        <f>IF(B104&lt;&gt;"",VLOOKUP(B104,Tabla1[[N° Guia]:[Destino]],4,FALSE),"")</f>
        <v/>
      </c>
      <c r="E104" s="167" t="str">
        <f>IF(B104&lt;&gt;"",VLOOKUP(B104,Tabla1[[N° Guia]:[BASE DE FLETE]],16,FALSE),"")</f>
        <v/>
      </c>
      <c r="F104" s="167" t="str">
        <f t="shared" si="5"/>
        <v/>
      </c>
      <c r="G104" s="167" t="str">
        <f>IF(B104&lt;&gt;"",VLOOKUP(B104,Tabla1[[N° Guia]:[FACTOR Bs/k]],23,FALSE),"")</f>
        <v/>
      </c>
      <c r="H104" s="168" t="str">
        <f t="shared" si="6"/>
        <v/>
      </c>
      <c r="I104" s="169" t="str">
        <f t="shared" si="7"/>
        <v/>
      </c>
      <c r="J104" s="169" t="str">
        <f t="shared" si="8"/>
        <v/>
      </c>
      <c r="K104" s="169"/>
      <c r="L104" s="168" t="str">
        <f t="shared" si="9"/>
        <v/>
      </c>
      <c r="M104" s="167" t="str">
        <f t="shared" si="10"/>
        <v/>
      </c>
      <c r="N104" s="173" t="str">
        <f t="shared" si="11"/>
        <v/>
      </c>
      <c r="O104" s="153"/>
      <c r="P104" s="149"/>
    </row>
    <row r="105" spans="1:16">
      <c r="A105" s="149"/>
      <c r="B105" s="172" t="str">
        <f t="shared" si="4"/>
        <v/>
      </c>
      <c r="C105" s="362"/>
      <c r="D105" s="166" t="str">
        <f>IF(B105&lt;&gt;"",VLOOKUP(B105,Tabla1[[N° Guia]:[Destino]],4,FALSE),"")</f>
        <v/>
      </c>
      <c r="E105" s="167" t="str">
        <f>IF(B105&lt;&gt;"",VLOOKUP(B105,Tabla1[[N° Guia]:[BASE DE FLETE]],16,FALSE),"")</f>
        <v/>
      </c>
      <c r="F105" s="167" t="str">
        <f t="shared" si="5"/>
        <v/>
      </c>
      <c r="G105" s="167" t="str">
        <f>IF(B105&lt;&gt;"",VLOOKUP(B105,Tabla1[[N° Guia]:[FACTOR Bs/k]],23,FALSE),"")</f>
        <v/>
      </c>
      <c r="H105" s="168" t="str">
        <f t="shared" si="6"/>
        <v/>
      </c>
      <c r="I105" s="169" t="str">
        <f t="shared" si="7"/>
        <v/>
      </c>
      <c r="J105" s="169" t="str">
        <f t="shared" si="8"/>
        <v/>
      </c>
      <c r="K105" s="169"/>
      <c r="L105" s="168" t="str">
        <f t="shared" si="9"/>
        <v/>
      </c>
      <c r="M105" s="167" t="str">
        <f t="shared" si="10"/>
        <v/>
      </c>
      <c r="N105" s="173" t="str">
        <f t="shared" si="11"/>
        <v/>
      </c>
      <c r="O105" s="153"/>
      <c r="P105" s="149"/>
    </row>
    <row r="106" spans="1:16">
      <c r="A106" s="149"/>
      <c r="B106" s="174" t="str">
        <f t="shared" si="4"/>
        <v/>
      </c>
      <c r="C106" s="363"/>
      <c r="D106" s="175" t="str">
        <f>IF(B106&lt;&gt;"",VLOOKUP(B106,Tabla1[[N° Guia]:[Destino]],4,FALSE),"")</f>
        <v/>
      </c>
      <c r="E106" s="176" t="str">
        <f>IF(B106&lt;&gt;"",VLOOKUP(B106,Tabla1[[N° Guia]:[BASE DE FLETE]],16,FALSE),"")</f>
        <v/>
      </c>
      <c r="F106" s="177" t="str">
        <f t="shared" si="5"/>
        <v/>
      </c>
      <c r="G106" s="177"/>
      <c r="H106" s="178" t="str">
        <f t="shared" si="6"/>
        <v/>
      </c>
      <c r="I106" s="179" t="str">
        <f t="shared" si="7"/>
        <v/>
      </c>
      <c r="J106" s="179" t="str">
        <f t="shared" si="8"/>
        <v/>
      </c>
      <c r="K106" s="179"/>
      <c r="L106" s="178" t="str">
        <f t="shared" si="9"/>
        <v/>
      </c>
      <c r="M106" s="176" t="str">
        <f t="shared" si="10"/>
        <v/>
      </c>
      <c r="N106" s="180" t="str">
        <f t="shared" si="11"/>
        <v/>
      </c>
      <c r="O106" s="153"/>
      <c r="P106" s="149"/>
    </row>
    <row r="107" spans="1:16">
      <c r="A107" s="149"/>
      <c r="B107" s="149"/>
      <c r="C107" s="149"/>
      <c r="D107" s="157"/>
      <c r="E107" s="160"/>
      <c r="F107" s="149"/>
      <c r="G107" s="154"/>
      <c r="H107" s="150"/>
      <c r="I107" s="155"/>
      <c r="J107" s="155"/>
      <c r="K107" s="155"/>
      <c r="L107" s="150"/>
      <c r="M107" s="151"/>
      <c r="N107" s="149"/>
      <c r="O107" s="149"/>
      <c r="P107" s="149"/>
    </row>
    <row r="108" spans="1:16" ht="18">
      <c r="A108" s="149"/>
      <c r="B108" s="161" t="s">
        <v>132</v>
      </c>
      <c r="C108" s="161"/>
      <c r="D108" s="157"/>
      <c r="E108" s="153"/>
      <c r="F108" s="149"/>
      <c r="G108" s="154"/>
      <c r="H108" s="150"/>
      <c r="I108" s="155"/>
      <c r="J108" s="155"/>
      <c r="K108" s="155"/>
      <c r="L108" s="150"/>
      <c r="M108" s="151"/>
      <c r="N108" s="149"/>
      <c r="O108" s="149"/>
      <c r="P108" s="149"/>
    </row>
    <row r="109" spans="1:16">
      <c r="A109" s="149"/>
      <c r="B109" s="413" t="s">
        <v>201</v>
      </c>
      <c r="C109" s="357"/>
      <c r="D109" s="420" t="s">
        <v>202</v>
      </c>
      <c r="E109" s="413" t="s">
        <v>203</v>
      </c>
      <c r="F109" s="183" t="s">
        <v>20</v>
      </c>
      <c r="G109" s="183" t="s">
        <v>191</v>
      </c>
      <c r="H109" s="421" t="s">
        <v>34</v>
      </c>
      <c r="I109" s="411" t="s">
        <v>37</v>
      </c>
      <c r="J109" s="411" t="s">
        <v>35</v>
      </c>
      <c r="K109" s="356"/>
      <c r="L109" s="412" t="s">
        <v>206</v>
      </c>
      <c r="M109" s="411" t="s">
        <v>38</v>
      </c>
      <c r="N109" s="413" t="s">
        <v>131</v>
      </c>
      <c r="O109" s="290"/>
      <c r="P109" s="149"/>
    </row>
    <row r="110" spans="1:16">
      <c r="A110" s="149"/>
      <c r="B110" s="413"/>
      <c r="C110" s="357"/>
      <c r="D110" s="420"/>
      <c r="E110" s="413"/>
      <c r="F110" s="184" t="s">
        <v>205</v>
      </c>
      <c r="G110" s="184" t="s">
        <v>207</v>
      </c>
      <c r="H110" s="421"/>
      <c r="I110" s="411"/>
      <c r="J110" s="411"/>
      <c r="K110" s="356"/>
      <c r="L110" s="412"/>
      <c r="M110" s="411"/>
      <c r="N110" s="413"/>
      <c r="O110" s="290"/>
      <c r="P110" s="149"/>
    </row>
    <row r="111" spans="1:16">
      <c r="A111" s="149"/>
      <c r="B111" s="170" t="str">
        <f>IF(J50&lt;&gt;"",J50,"")</f>
        <v/>
      </c>
      <c r="C111" s="361"/>
      <c r="D111" s="162" t="str">
        <f>IF(B111&lt;&gt;"",VLOOKUP(B111,Tabla1[[N° Guia2]:[Destino]],3,FALSE),"")</f>
        <v/>
      </c>
      <c r="E111" s="163" t="str">
        <f>IF(B111&lt;&gt;"",VLOOKUP(B111,Tabla1[[N° Guia2]:[BASE DE FLETE]],15,FALSE),"")</f>
        <v/>
      </c>
      <c r="F111" s="163" t="str">
        <f>IF(B111&lt;&gt;"",VLOOKUP(B111,$J$50:$S$72,2,FALSE),"")</f>
        <v/>
      </c>
      <c r="G111" s="163" t="str">
        <f>IF(B111&lt;&gt;"",VLOOKUP(B111,Tabla1[[N° Guia2]:[FACTOR Bs/k]],22,FALSE),"")</f>
        <v/>
      </c>
      <c r="H111" s="164" t="str">
        <f>IF(B111&lt;&gt;"",VLOOKUP(B111,$J$50:$S$72,3,FALSE),"")</f>
        <v/>
      </c>
      <c r="I111" s="165" t="str">
        <f>IF(B111&lt;&gt;"",VLOOKUP(B111,$J$50:$S$72,4,FALSE),"")</f>
        <v/>
      </c>
      <c r="J111" s="165" t="str">
        <f>IF(B111&lt;&gt;"",VLOOKUP(B111,$J$50:$S$72,7,FALSE),"")</f>
        <v/>
      </c>
      <c r="K111" s="165"/>
      <c r="L111" s="164" t="str">
        <f>IF(B111&lt;&gt;"",VLOOKUP(B111,$J$50:$S$72,5,FALSE),"")</f>
        <v/>
      </c>
      <c r="M111" s="163" t="str">
        <f>IF(B111&lt;&gt;"",VLOOKUP(B111,$J$50:$S$72,6,FALSE),"")</f>
        <v/>
      </c>
      <c r="N111" s="171" t="str">
        <f>IF(B111&lt;&gt;"",VLOOKUP(B111,$J$50:$S$72,8,FALSE),"")</f>
        <v/>
      </c>
      <c r="O111" s="153"/>
      <c r="P111" s="149"/>
    </row>
    <row r="112" spans="1:16">
      <c r="A112" s="149"/>
      <c r="B112" s="172" t="str">
        <f t="shared" ref="B112:B119" si="12">IF(J51&lt;&gt;"",J51,"")</f>
        <v/>
      </c>
      <c r="C112" s="362"/>
      <c r="D112" s="166" t="str">
        <f>IF(B112&lt;&gt;"",VLOOKUP(B112,Tabla1[[N° Guia2]:[Destino]],3,FALSE),"")</f>
        <v/>
      </c>
      <c r="E112" s="167" t="str">
        <f>IF(B112&lt;&gt;"",VLOOKUP(B112,Tabla1[[N° Guia2]:[BASE DE FLETE]],15,FALSE),"")</f>
        <v/>
      </c>
      <c r="F112" s="167" t="str">
        <f t="shared" ref="F112:F119" si="13">IF(B112&lt;&gt;"",VLOOKUP(B112,$J$50:$S$72,2,FALSE),"")</f>
        <v/>
      </c>
      <c r="G112" s="167" t="str">
        <f>IF(B112&lt;&gt;"",VLOOKUP(B112,Tabla1[[N° Guia2]:[FACTOR Bs/k]],22,FALSE),"")</f>
        <v/>
      </c>
      <c r="H112" s="168" t="str">
        <f t="shared" ref="H112:H119" si="14">IF(B112&lt;&gt;"",VLOOKUP(B112,$J$50:$S$72,3,FALSE),"")</f>
        <v/>
      </c>
      <c r="I112" s="169" t="str">
        <f t="shared" ref="I112:I119" si="15">IF(B112&lt;&gt;"",VLOOKUP(B112,$J$50:$S$72,4,FALSE),"")</f>
        <v/>
      </c>
      <c r="J112" s="169" t="str">
        <f t="shared" ref="J112:J119" si="16">IF(B112&lt;&gt;"",VLOOKUP(B112,$J$50:$S$72,7,FALSE),"")</f>
        <v/>
      </c>
      <c r="K112" s="169"/>
      <c r="L112" s="168" t="str">
        <f t="shared" ref="L112:L119" si="17">IF(B112&lt;&gt;"",VLOOKUP(B112,$J$50:$S$72,5,FALSE),"")</f>
        <v/>
      </c>
      <c r="M112" s="167" t="str">
        <f t="shared" ref="M112:M119" si="18">IF(B112&lt;&gt;"",VLOOKUP(B112,$J$50:$S$72,6,FALSE),"")</f>
        <v/>
      </c>
      <c r="N112" s="173" t="str">
        <f t="shared" ref="N112:N119" si="19">IF(B112&lt;&gt;"",VLOOKUP(B112,$J$50:$S$72,8,FALSE),"")</f>
        <v/>
      </c>
      <c r="O112" s="153"/>
      <c r="P112" s="149"/>
    </row>
    <row r="113" spans="1:16">
      <c r="A113" s="149"/>
      <c r="B113" s="172" t="str">
        <f t="shared" si="12"/>
        <v/>
      </c>
      <c r="C113" s="362"/>
      <c r="D113" s="166" t="str">
        <f>IF(B113&lt;&gt;"",VLOOKUP(B113,Tabla1[[N° Guia2]:[Destino]],3,FALSE),"")</f>
        <v/>
      </c>
      <c r="E113" s="167" t="str">
        <f>IF(B113&lt;&gt;"",VLOOKUP(B113,Tabla1[[N° Guia2]:[BASE DE FLETE]],15,FALSE),"")</f>
        <v/>
      </c>
      <c r="F113" s="167" t="str">
        <f t="shared" si="13"/>
        <v/>
      </c>
      <c r="G113" s="167" t="str">
        <f>IF(B113&lt;&gt;"",VLOOKUP(B113,Tabla1[[N° Guia2]:[FACTOR Bs/k]],22,FALSE),"")</f>
        <v/>
      </c>
      <c r="H113" s="168" t="str">
        <f t="shared" si="14"/>
        <v/>
      </c>
      <c r="I113" s="169" t="str">
        <f t="shared" si="15"/>
        <v/>
      </c>
      <c r="J113" s="169" t="str">
        <f t="shared" si="16"/>
        <v/>
      </c>
      <c r="K113" s="169"/>
      <c r="L113" s="168" t="str">
        <f t="shared" si="17"/>
        <v/>
      </c>
      <c r="M113" s="167" t="str">
        <f t="shared" si="18"/>
        <v/>
      </c>
      <c r="N113" s="173" t="str">
        <f t="shared" si="19"/>
        <v/>
      </c>
      <c r="O113" s="153"/>
      <c r="P113" s="149"/>
    </row>
    <row r="114" spans="1:16">
      <c r="A114" s="149"/>
      <c r="B114" s="172" t="str">
        <f t="shared" si="12"/>
        <v/>
      </c>
      <c r="C114" s="362"/>
      <c r="D114" s="166" t="str">
        <f>IF(B114&lt;&gt;"",VLOOKUP(B114,Tabla1[[N° Guia2]:[Destino]],3,FALSE),"")</f>
        <v/>
      </c>
      <c r="E114" s="167" t="str">
        <f>IF(B114&lt;&gt;"",VLOOKUP(B114,Tabla1[[N° Guia2]:[BASE DE FLETE]],15,FALSE),"")</f>
        <v/>
      </c>
      <c r="F114" s="167" t="str">
        <f t="shared" si="13"/>
        <v/>
      </c>
      <c r="G114" s="167" t="str">
        <f>IF(B114&lt;&gt;"",VLOOKUP(B114,Tabla1[[N° Guia2]:[FACTOR Bs/k]],22,FALSE),"")</f>
        <v/>
      </c>
      <c r="H114" s="168" t="str">
        <f t="shared" si="14"/>
        <v/>
      </c>
      <c r="I114" s="169" t="str">
        <f t="shared" si="15"/>
        <v/>
      </c>
      <c r="J114" s="169" t="str">
        <f t="shared" si="16"/>
        <v/>
      </c>
      <c r="K114" s="169"/>
      <c r="L114" s="168" t="str">
        <f t="shared" si="17"/>
        <v/>
      </c>
      <c r="M114" s="167" t="str">
        <f t="shared" si="18"/>
        <v/>
      </c>
      <c r="N114" s="173" t="str">
        <f t="shared" si="19"/>
        <v/>
      </c>
      <c r="O114" s="153"/>
      <c r="P114" s="149"/>
    </row>
    <row r="115" spans="1:16">
      <c r="A115" s="149"/>
      <c r="B115" s="172" t="str">
        <f t="shared" si="12"/>
        <v/>
      </c>
      <c r="C115" s="362"/>
      <c r="D115" s="166" t="str">
        <f>IF(B115&lt;&gt;"",VLOOKUP(B115,Tabla1[[N° Guia2]:[Destino]],3,FALSE),"")</f>
        <v/>
      </c>
      <c r="E115" s="167" t="str">
        <f>IF(B115&lt;&gt;"",VLOOKUP(B115,Tabla1[[N° Guia2]:[BASE DE FLETE]],15,FALSE),"")</f>
        <v/>
      </c>
      <c r="F115" s="167" t="str">
        <f t="shared" si="13"/>
        <v/>
      </c>
      <c r="G115" s="167" t="str">
        <f>IF(B115&lt;&gt;"",VLOOKUP(B115,Tabla1[[N° Guia2]:[FACTOR Bs/k]],22,FALSE),"")</f>
        <v/>
      </c>
      <c r="H115" s="168" t="str">
        <f t="shared" si="14"/>
        <v/>
      </c>
      <c r="I115" s="169" t="str">
        <f t="shared" si="15"/>
        <v/>
      </c>
      <c r="J115" s="169" t="str">
        <f t="shared" si="16"/>
        <v/>
      </c>
      <c r="K115" s="169"/>
      <c r="L115" s="168" t="str">
        <f t="shared" si="17"/>
        <v/>
      </c>
      <c r="M115" s="167" t="str">
        <f t="shared" si="18"/>
        <v/>
      </c>
      <c r="N115" s="173" t="str">
        <f t="shared" si="19"/>
        <v/>
      </c>
      <c r="O115" s="153"/>
      <c r="P115" s="149"/>
    </row>
    <row r="116" spans="1:16">
      <c r="A116" s="149"/>
      <c r="B116" s="172" t="str">
        <f t="shared" si="12"/>
        <v/>
      </c>
      <c r="C116" s="362"/>
      <c r="D116" s="166" t="str">
        <f>IF(B116&lt;&gt;"",VLOOKUP(B116,Tabla1[[N° Guia2]:[Destino]],3,FALSE),"")</f>
        <v/>
      </c>
      <c r="E116" s="167" t="str">
        <f>IF(B116&lt;&gt;"",VLOOKUP(B116,Tabla1[[N° Guia2]:[BASE DE FLETE]],15,FALSE),"")</f>
        <v/>
      </c>
      <c r="F116" s="167" t="str">
        <f t="shared" si="13"/>
        <v/>
      </c>
      <c r="G116" s="167" t="str">
        <f>IF(B116&lt;&gt;"",VLOOKUP(B116,Tabla1[[N° Guia2]:[FACTOR Bs/k]],22,FALSE),"")</f>
        <v/>
      </c>
      <c r="H116" s="168" t="str">
        <f t="shared" si="14"/>
        <v/>
      </c>
      <c r="I116" s="169" t="str">
        <f t="shared" si="15"/>
        <v/>
      </c>
      <c r="J116" s="169" t="str">
        <f t="shared" si="16"/>
        <v/>
      </c>
      <c r="K116" s="169"/>
      <c r="L116" s="168" t="str">
        <f t="shared" si="17"/>
        <v/>
      </c>
      <c r="M116" s="167" t="str">
        <f t="shared" si="18"/>
        <v/>
      </c>
      <c r="N116" s="173" t="str">
        <f t="shared" si="19"/>
        <v/>
      </c>
      <c r="O116" s="153"/>
      <c r="P116" s="149"/>
    </row>
    <row r="117" spans="1:16">
      <c r="A117" s="149"/>
      <c r="B117" s="172" t="str">
        <f t="shared" si="12"/>
        <v/>
      </c>
      <c r="C117" s="362"/>
      <c r="D117" s="166" t="str">
        <f>IF(B117&lt;&gt;"",VLOOKUP(B117,Tabla1[[N° Guia2]:[Destino]],3,FALSE),"")</f>
        <v/>
      </c>
      <c r="E117" s="167" t="str">
        <f>IF(B117&lt;&gt;"",VLOOKUP(B117,Tabla1[[N° Guia2]:[BASE DE FLETE]],15,FALSE),"")</f>
        <v/>
      </c>
      <c r="F117" s="167" t="str">
        <f t="shared" si="13"/>
        <v/>
      </c>
      <c r="G117" s="167" t="str">
        <f>IF(B117&lt;&gt;"",VLOOKUP(B117,Tabla1[[N° Guia2]:[FACTOR Bs/k]],22,FALSE),"")</f>
        <v/>
      </c>
      <c r="H117" s="168" t="str">
        <f t="shared" si="14"/>
        <v/>
      </c>
      <c r="I117" s="169" t="str">
        <f t="shared" si="15"/>
        <v/>
      </c>
      <c r="J117" s="169" t="str">
        <f t="shared" si="16"/>
        <v/>
      </c>
      <c r="K117" s="169"/>
      <c r="L117" s="168" t="str">
        <f t="shared" si="17"/>
        <v/>
      </c>
      <c r="M117" s="167" t="str">
        <f t="shared" si="18"/>
        <v/>
      </c>
      <c r="N117" s="173" t="str">
        <f t="shared" si="19"/>
        <v/>
      </c>
      <c r="O117" s="153"/>
      <c r="P117" s="149"/>
    </row>
    <row r="118" spans="1:16">
      <c r="A118" s="149"/>
      <c r="B118" s="172" t="str">
        <f t="shared" si="12"/>
        <v/>
      </c>
      <c r="C118" s="362"/>
      <c r="D118" s="166" t="str">
        <f>IF(B118&lt;&gt;"",VLOOKUP(B118,Tabla1[[N° Guia2]:[Destino]],3,FALSE),"")</f>
        <v/>
      </c>
      <c r="E118" s="167" t="str">
        <f>IF(B118&lt;&gt;"",VLOOKUP(B118,Tabla1[[N° Guia2]:[BASE DE FLETE]],15,FALSE),"")</f>
        <v/>
      </c>
      <c r="F118" s="167" t="str">
        <f t="shared" si="13"/>
        <v/>
      </c>
      <c r="G118" s="167" t="str">
        <f>IF(B118&lt;&gt;"",VLOOKUP(B118,Tabla1[[N° Guia2]:[FACTOR Bs/k]],22,FALSE),"")</f>
        <v/>
      </c>
      <c r="H118" s="168" t="str">
        <f t="shared" si="14"/>
        <v/>
      </c>
      <c r="I118" s="169" t="str">
        <f t="shared" si="15"/>
        <v/>
      </c>
      <c r="J118" s="169" t="str">
        <f t="shared" si="16"/>
        <v/>
      </c>
      <c r="K118" s="169"/>
      <c r="L118" s="168" t="str">
        <f t="shared" si="17"/>
        <v/>
      </c>
      <c r="M118" s="167" t="str">
        <f t="shared" si="18"/>
        <v/>
      </c>
      <c r="N118" s="173" t="str">
        <f t="shared" si="19"/>
        <v/>
      </c>
      <c r="O118" s="153"/>
      <c r="P118" s="149"/>
    </row>
    <row r="119" spans="1:16">
      <c r="A119" s="149"/>
      <c r="B119" s="174" t="str">
        <f t="shared" si="12"/>
        <v/>
      </c>
      <c r="C119" s="363"/>
      <c r="D119" s="175" t="str">
        <f>IF(B119&lt;&gt;"",VLOOKUP(B119,Tabla1[[N° Guia2]:[Destino]],3,FALSE),"")</f>
        <v/>
      </c>
      <c r="E119" s="176" t="str">
        <f>IF(B119&lt;&gt;"",VLOOKUP(B119,Tabla1[[N° Guia2]:[BASE DE FLETE]],15,FALSE),"")</f>
        <v/>
      </c>
      <c r="F119" s="177" t="str">
        <f t="shared" si="13"/>
        <v/>
      </c>
      <c r="G119" s="177" t="str">
        <f>IF(B119&lt;&gt;"",VLOOKUP(B119,Tabla1[[N° Guia2]:[FACTOR Bs/k]],22,FALSE),"")</f>
        <v/>
      </c>
      <c r="H119" s="178" t="str">
        <f t="shared" si="14"/>
        <v/>
      </c>
      <c r="I119" s="179" t="str">
        <f t="shared" si="15"/>
        <v/>
      </c>
      <c r="J119" s="179" t="str">
        <f t="shared" si="16"/>
        <v/>
      </c>
      <c r="K119" s="179"/>
      <c r="L119" s="178" t="str">
        <f t="shared" si="17"/>
        <v/>
      </c>
      <c r="M119" s="176" t="str">
        <f t="shared" si="18"/>
        <v/>
      </c>
      <c r="N119" s="180" t="str">
        <f t="shared" si="19"/>
        <v/>
      </c>
      <c r="O119" s="153"/>
      <c r="P119" s="149"/>
    </row>
    <row r="120" spans="1:16" ht="37.5" customHeight="1">
      <c r="A120" s="149"/>
      <c r="B120" s="149"/>
      <c r="C120" s="149"/>
      <c r="D120" s="157"/>
      <c r="E120" s="153"/>
      <c r="F120" s="149"/>
      <c r="G120" s="154"/>
      <c r="H120" s="150"/>
      <c r="I120" s="155"/>
      <c r="J120" s="155"/>
      <c r="K120" s="155"/>
      <c r="L120" s="150"/>
      <c r="M120" s="151"/>
      <c r="N120" s="149"/>
      <c r="O120" s="149"/>
      <c r="P120" s="149"/>
    </row>
    <row r="121" spans="1:16">
      <c r="A121" s="9" t="s">
        <v>353</v>
      </c>
      <c r="B121" s="11">
        <v>10002701</v>
      </c>
      <c r="C121" s="11"/>
      <c r="D121" s="9" t="s">
        <v>353</v>
      </c>
    </row>
    <row r="122" spans="1:16" ht="24">
      <c r="A122" s="9" t="s">
        <v>168</v>
      </c>
      <c r="B122" s="11">
        <v>10000093</v>
      </c>
      <c r="C122" s="11"/>
      <c r="D122" s="323" t="s">
        <v>168</v>
      </c>
    </row>
    <row r="123" spans="1:16">
      <c r="A123" s="9" t="s">
        <v>334</v>
      </c>
      <c r="B123" s="11">
        <v>10002332</v>
      </c>
      <c r="C123" s="11"/>
      <c r="D123" s="9" t="s">
        <v>334</v>
      </c>
    </row>
    <row r="124" spans="1:16">
      <c r="A124" s="9" t="s">
        <v>169</v>
      </c>
      <c r="B124" s="11">
        <v>10000102</v>
      </c>
      <c r="C124" s="11"/>
      <c r="D124" s="323" t="s">
        <v>169</v>
      </c>
    </row>
    <row r="125" spans="1:16" ht="24">
      <c r="A125" s="9" t="s">
        <v>170</v>
      </c>
      <c r="B125" s="11">
        <v>10000113</v>
      </c>
      <c r="C125" s="11"/>
      <c r="D125" s="323" t="s">
        <v>170</v>
      </c>
    </row>
    <row r="126" spans="1:16" ht="24">
      <c r="A126" s="9" t="s">
        <v>171</v>
      </c>
      <c r="B126" s="11">
        <v>10000117</v>
      </c>
      <c r="C126" s="11"/>
      <c r="D126" s="323" t="s">
        <v>171</v>
      </c>
    </row>
    <row r="127" spans="1:16">
      <c r="A127" s="9" t="s">
        <v>172</v>
      </c>
      <c r="B127" s="11">
        <v>10000131</v>
      </c>
      <c r="C127" s="11"/>
      <c r="D127" s="323" t="s">
        <v>172</v>
      </c>
    </row>
    <row r="128" spans="1:16">
      <c r="A128" s="9" t="s">
        <v>173</v>
      </c>
      <c r="B128" s="11">
        <v>10000209</v>
      </c>
      <c r="C128" s="11"/>
      <c r="D128" s="323" t="s">
        <v>173</v>
      </c>
    </row>
    <row r="129" spans="1:4" ht="24">
      <c r="A129" s="9" t="s">
        <v>325</v>
      </c>
      <c r="B129" s="11">
        <v>10002494</v>
      </c>
      <c r="C129" s="11"/>
      <c r="D129" s="323" t="s">
        <v>325</v>
      </c>
    </row>
    <row r="130" spans="1:4">
      <c r="A130" s="11" t="s">
        <v>352</v>
      </c>
      <c r="B130" s="11">
        <v>10000558</v>
      </c>
      <c r="C130" s="11"/>
      <c r="D130" s="11" t="s">
        <v>352</v>
      </c>
    </row>
    <row r="131" spans="1:4" ht="48">
      <c r="A131" s="323" t="s">
        <v>342</v>
      </c>
      <c r="B131" s="11">
        <v>10002646</v>
      </c>
      <c r="C131" s="11"/>
      <c r="D131" s="323" t="s">
        <v>342</v>
      </c>
    </row>
    <row r="132" spans="1:4" ht="24">
      <c r="A132" s="9" t="s">
        <v>329</v>
      </c>
      <c r="B132" s="11">
        <v>10002548</v>
      </c>
      <c r="C132" s="11"/>
      <c r="D132" s="323" t="s">
        <v>329</v>
      </c>
    </row>
    <row r="133" spans="1:4">
      <c r="A133" s="9" t="s">
        <v>255</v>
      </c>
      <c r="B133" s="11">
        <v>100002416</v>
      </c>
      <c r="C133" s="11"/>
      <c r="D133" s="323" t="s">
        <v>255</v>
      </c>
    </row>
    <row r="134" spans="1:4">
      <c r="A134" s="9" t="s">
        <v>282</v>
      </c>
      <c r="B134" s="11">
        <v>10002460</v>
      </c>
      <c r="C134" s="11"/>
      <c r="D134" s="323" t="s">
        <v>282</v>
      </c>
    </row>
    <row r="135" spans="1:4" ht="36">
      <c r="A135" s="9" t="s">
        <v>332</v>
      </c>
      <c r="B135" s="11">
        <v>10002564</v>
      </c>
      <c r="C135" s="11"/>
      <c r="D135" s="323" t="s">
        <v>332</v>
      </c>
    </row>
    <row r="136" spans="1:4">
      <c r="A136" s="9" t="s">
        <v>354</v>
      </c>
      <c r="B136" s="11">
        <v>10002296</v>
      </c>
      <c r="C136" s="11"/>
      <c r="D136" s="9" t="s">
        <v>354</v>
      </c>
    </row>
    <row r="137" spans="1:4">
      <c r="A137" s="9" t="s">
        <v>174</v>
      </c>
      <c r="B137" s="11">
        <v>10001595</v>
      </c>
      <c r="C137" s="11"/>
      <c r="D137" s="323" t="s">
        <v>174</v>
      </c>
    </row>
    <row r="138" spans="1:4" ht="24">
      <c r="A138" s="9" t="s">
        <v>175</v>
      </c>
      <c r="B138" s="11">
        <v>10001723</v>
      </c>
      <c r="C138" s="11"/>
      <c r="D138" s="323" t="s">
        <v>175</v>
      </c>
    </row>
    <row r="139" spans="1:4">
      <c r="A139" s="9" t="s">
        <v>176</v>
      </c>
      <c r="B139" s="11">
        <v>10001726</v>
      </c>
      <c r="C139" s="11"/>
      <c r="D139" s="323" t="s">
        <v>176</v>
      </c>
    </row>
    <row r="140" spans="1:4">
      <c r="A140" s="9" t="s">
        <v>177</v>
      </c>
      <c r="B140" s="11">
        <v>10002119</v>
      </c>
      <c r="C140" s="11"/>
      <c r="D140" s="323" t="s">
        <v>177</v>
      </c>
    </row>
    <row r="141" spans="1:4" ht="24">
      <c r="A141" s="9" t="s">
        <v>239</v>
      </c>
      <c r="B141" s="11">
        <v>10002312</v>
      </c>
      <c r="C141" s="11"/>
      <c r="D141" s="323" t="s">
        <v>239</v>
      </c>
    </row>
    <row r="142" spans="1:4">
      <c r="A142" s="9" t="s">
        <v>178</v>
      </c>
      <c r="B142" s="11">
        <v>10002026</v>
      </c>
      <c r="C142" s="11"/>
      <c r="D142" s="323" t="s">
        <v>178</v>
      </c>
    </row>
    <row r="143" spans="1:4">
      <c r="A143" s="9" t="s">
        <v>243</v>
      </c>
      <c r="B143" s="11">
        <v>10002304</v>
      </c>
      <c r="C143" s="11"/>
      <c r="D143" s="323" t="s">
        <v>243</v>
      </c>
    </row>
    <row r="144" spans="1:4">
      <c r="A144" s="9" t="s">
        <v>179</v>
      </c>
      <c r="B144" s="11">
        <v>10002124</v>
      </c>
      <c r="C144" s="11"/>
      <c r="D144" s="323" t="s">
        <v>179</v>
      </c>
    </row>
    <row r="145" spans="1:4" ht="24">
      <c r="A145" s="9" t="s">
        <v>223</v>
      </c>
      <c r="B145" s="11">
        <v>10002236</v>
      </c>
      <c r="C145" s="11"/>
      <c r="D145" s="323" t="s">
        <v>223</v>
      </c>
    </row>
    <row r="146" spans="1:4" ht="24">
      <c r="A146" s="9" t="s">
        <v>225</v>
      </c>
      <c r="B146" s="11">
        <v>10002215</v>
      </c>
      <c r="C146" s="11"/>
      <c r="D146" s="323" t="s">
        <v>225</v>
      </c>
    </row>
    <row r="147" spans="1:4">
      <c r="A147" s="9" t="s">
        <v>356</v>
      </c>
      <c r="B147" s="11">
        <v>10002749</v>
      </c>
      <c r="C147" s="11"/>
      <c r="D147" s="9" t="s">
        <v>356</v>
      </c>
    </row>
    <row r="148" spans="1:4" ht="63.75">
      <c r="A148" s="10" t="s">
        <v>357</v>
      </c>
      <c r="B148" s="9">
        <v>10002754</v>
      </c>
      <c r="D148" s="10" t="s">
        <v>357</v>
      </c>
    </row>
    <row r="149" spans="1:4" ht="51">
      <c r="A149" s="10" t="s">
        <v>379</v>
      </c>
      <c r="B149" s="9">
        <v>10002783</v>
      </c>
      <c r="D149" s="10" t="s">
        <v>379</v>
      </c>
    </row>
    <row r="150" spans="1:4">
      <c r="A150" s="9" t="s">
        <v>383</v>
      </c>
      <c r="B150" s="9">
        <v>10002812</v>
      </c>
      <c r="D150" s="9" t="s">
        <v>383</v>
      </c>
    </row>
  </sheetData>
  <sheetProtection formatColumns="0" sort="0"/>
  <mergeCells count="48">
    <mergeCell ref="AO2:AU2"/>
    <mergeCell ref="AA2:AG2"/>
    <mergeCell ref="AH2:AN2"/>
    <mergeCell ref="I1:S2"/>
    <mergeCell ref="B1:H1"/>
    <mergeCell ref="B2:H2"/>
    <mergeCell ref="L48:R48"/>
    <mergeCell ref="M79:N79"/>
    <mergeCell ref="M80:N80"/>
    <mergeCell ref="B75:E75"/>
    <mergeCell ref="L75:N75"/>
    <mergeCell ref="M76:N76"/>
    <mergeCell ref="M77:N77"/>
    <mergeCell ref="M78:N78"/>
    <mergeCell ref="D76:E76"/>
    <mergeCell ref="D77:E77"/>
    <mergeCell ref="D78:E78"/>
    <mergeCell ref="D79:E79"/>
    <mergeCell ref="D80:E80"/>
    <mergeCell ref="G75:I75"/>
    <mergeCell ref="H96:H97"/>
    <mergeCell ref="I96:I97"/>
    <mergeCell ref="J96:J97"/>
    <mergeCell ref="A48:A49"/>
    <mergeCell ref="J48:J49"/>
    <mergeCell ref="B48:I48"/>
    <mergeCell ref="F74:J74"/>
    <mergeCell ref="H76:I76"/>
    <mergeCell ref="H77:I77"/>
    <mergeCell ref="H78:I78"/>
    <mergeCell ref="H79:I79"/>
    <mergeCell ref="H80:I80"/>
    <mergeCell ref="J109:J110"/>
    <mergeCell ref="L109:L110"/>
    <mergeCell ref="M109:M110"/>
    <mergeCell ref="N109:N110"/>
    <mergeCell ref="B91:N92"/>
    <mergeCell ref="B109:B110"/>
    <mergeCell ref="D109:D110"/>
    <mergeCell ref="E109:E110"/>
    <mergeCell ref="H109:H110"/>
    <mergeCell ref="I109:I110"/>
    <mergeCell ref="L96:L97"/>
    <mergeCell ref="M96:M97"/>
    <mergeCell ref="N96:N97"/>
    <mergeCell ref="B96:B97"/>
    <mergeCell ref="D96:D97"/>
    <mergeCell ref="E96:E97"/>
  </mergeCells>
  <phoneticPr fontId="75" type="noConversion"/>
  <dataValidations count="1">
    <dataValidation type="list" allowBlank="1" showInputMessage="1" showErrorMessage="1" sqref="I1:S2" xr:uid="{00000000-0002-0000-0000-000000000000}">
      <formula1>$A$121:$A$157</formula1>
    </dataValidation>
  </dataValidations>
  <pageMargins left="0.70866141732283472" right="0.70866141732283472" top="0.74803149606299213" bottom="0.74803149606299213" header="0.31496062992125984" footer="0.31496062992125984"/>
  <pageSetup scale="38" orientation="landscape" r:id="rId1"/>
  <headerFooter>
    <oddHeader xml:space="preserve">&amp;L&amp;G&amp;CPERÍODO DE FACTURACIÓN </oddHeader>
    <oddFooter xml:space="preserve">&amp;LCada factura dede poseer soporte de acuerdo a los siguientes conceptos: -Fletes,caletas y repartos: Guia de Carga. -Mora: Autorización de la Sra. Silvia Silva -Retorno depaletas: Nota de envio y entrega firmadas y selladas por ambas partes.&amp;R
</oddFooter>
  </headerFooter>
  <ignoredErrors>
    <ignoredError sqref="S4 S36:S45" calculatedColumn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Quitar">
                <anchor moveWithCells="1" sizeWithCells="1">
                  <from>
                    <xdr:col>4</xdr:col>
                    <xdr:colOff>1104900</xdr:colOff>
                    <xdr:row>0</xdr:row>
                    <xdr:rowOff>266700</xdr:rowOff>
                  </from>
                  <to>
                    <xdr:col>6</xdr:col>
                    <xdr:colOff>609600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Pasar">
                <anchor moveWithCells="1" sizeWithCells="1">
                  <from>
                    <xdr:col>6</xdr:col>
                    <xdr:colOff>828675</xdr:colOff>
                    <xdr:row>0</xdr:row>
                    <xdr:rowOff>257175</xdr:rowOff>
                  </from>
                  <to>
                    <xdr:col>8</xdr:col>
                    <xdr:colOff>333375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pageSetUpPr fitToPage="1"/>
  </sheetPr>
  <dimension ref="B1:S135"/>
  <sheetViews>
    <sheetView zoomScaleNormal="100" workbookViewId="0">
      <selection activeCell="D133" sqref="D133"/>
    </sheetView>
  </sheetViews>
  <sheetFormatPr baseColWidth="10" defaultRowHeight="12.75"/>
  <cols>
    <col min="10" max="10" width="14.28515625" customWidth="1"/>
    <col min="11" max="11" width="15.28515625" customWidth="1"/>
    <col min="13" max="13" width="14.85546875" customWidth="1"/>
    <col min="17" max="17" width="18.5703125" customWidth="1"/>
  </cols>
  <sheetData>
    <row r="1" spans="2:13" ht="12.75" customHeight="1">
      <c r="B1" s="459" t="s">
        <v>210</v>
      </c>
      <c r="C1" s="460"/>
      <c r="D1" s="460"/>
      <c r="E1" s="460"/>
      <c r="F1" s="460"/>
      <c r="G1" s="460"/>
      <c r="H1" s="460"/>
      <c r="I1" s="460"/>
      <c r="J1" s="460"/>
      <c r="K1" s="461"/>
    </row>
    <row r="2" spans="2:13" ht="12.75" customHeight="1">
      <c r="B2" s="462"/>
      <c r="C2" s="463"/>
      <c r="D2" s="463"/>
      <c r="E2" s="463"/>
      <c r="F2" s="463"/>
      <c r="G2" s="463"/>
      <c r="H2" s="463"/>
      <c r="I2" s="463"/>
      <c r="J2" s="463"/>
      <c r="K2" s="464"/>
      <c r="L2" s="228"/>
      <c r="M2" s="108"/>
    </row>
    <row r="3" spans="2:13">
      <c r="B3" s="186"/>
      <c r="D3" s="465" t="str">
        <f>RELACIÓN!I1</f>
        <v>TRANSPORTE ELIAGNYS PAEZ</v>
      </c>
      <c r="E3" s="465"/>
      <c r="F3" s="465"/>
      <c r="G3" s="465"/>
      <c r="H3" s="465"/>
      <c r="K3" s="187"/>
      <c r="M3" s="108"/>
    </row>
    <row r="4" spans="2:13">
      <c r="B4" s="186"/>
      <c r="D4" s="465"/>
      <c r="E4" s="465"/>
      <c r="F4" s="465"/>
      <c r="G4" s="465"/>
      <c r="H4" s="465"/>
      <c r="I4" t="s">
        <v>344</v>
      </c>
      <c r="J4" s="350">
        <f>Tabulador!M1</f>
        <v>1</v>
      </c>
      <c r="K4" s="187"/>
    </row>
    <row r="5" spans="2:13">
      <c r="B5" s="186"/>
      <c r="I5" s="228" t="s">
        <v>347</v>
      </c>
      <c r="J5" s="350">
        <f>J19+J34+J50+J68+J84+J100+J116+J133</f>
        <v>0</v>
      </c>
      <c r="K5" s="229"/>
    </row>
    <row r="6" spans="2:13">
      <c r="B6" s="186"/>
      <c r="I6" t="s">
        <v>346</v>
      </c>
      <c r="J6" s="108">
        <f>J5*J4</f>
        <v>0</v>
      </c>
      <c r="K6" s="187"/>
    </row>
    <row r="7" spans="2:13">
      <c r="B7" s="456" t="s">
        <v>211</v>
      </c>
      <c r="C7" s="457"/>
      <c r="D7" s="188" t="s">
        <v>212</v>
      </c>
      <c r="E7" s="188" t="s">
        <v>202</v>
      </c>
      <c r="F7" s="188" t="s">
        <v>343</v>
      </c>
      <c r="G7" s="188" t="s">
        <v>217</v>
      </c>
      <c r="H7" s="188" t="s">
        <v>213</v>
      </c>
      <c r="I7" s="188" t="s">
        <v>214</v>
      </c>
      <c r="J7" s="188" t="s">
        <v>215</v>
      </c>
      <c r="K7" s="189" t="s">
        <v>216</v>
      </c>
    </row>
    <row r="8" spans="2:13">
      <c r="B8" s="221"/>
      <c r="C8" s="222"/>
      <c r="D8" s="222"/>
      <c r="E8" s="222"/>
      <c r="F8" s="222"/>
      <c r="G8" s="223"/>
      <c r="H8" s="224"/>
      <c r="I8" s="224"/>
      <c r="J8" s="224"/>
      <c r="K8" s="225"/>
    </row>
    <row r="9" spans="2:13">
      <c r="B9" s="221"/>
      <c r="C9" s="222"/>
      <c r="D9" s="222"/>
      <c r="E9" s="222"/>
      <c r="F9" s="222"/>
      <c r="G9" s="223"/>
      <c r="H9" s="224"/>
      <c r="I9" s="224"/>
      <c r="J9" s="224"/>
      <c r="K9" s="225"/>
    </row>
    <row r="10" spans="2:13">
      <c r="B10" s="218"/>
      <c r="C10" s="194"/>
      <c r="D10" s="194"/>
      <c r="E10" s="192"/>
      <c r="F10" s="192"/>
      <c r="G10" s="194"/>
      <c r="H10" s="194"/>
      <c r="I10" s="194"/>
      <c r="J10" s="192"/>
      <c r="K10" s="193"/>
    </row>
    <row r="11" spans="2:13">
      <c r="B11" s="218"/>
      <c r="C11" s="194"/>
      <c r="D11" s="194"/>
      <c r="E11" s="192"/>
      <c r="F11" s="192"/>
      <c r="G11" s="194"/>
      <c r="H11" s="194"/>
      <c r="I11" s="194"/>
      <c r="J11" s="192"/>
      <c r="K11" s="193"/>
    </row>
    <row r="12" spans="2:13">
      <c r="B12" s="218"/>
      <c r="C12" s="194"/>
      <c r="D12" s="194"/>
      <c r="E12" s="192"/>
      <c r="F12" s="192"/>
      <c r="G12" s="194"/>
      <c r="H12" s="194"/>
      <c r="I12" s="194"/>
      <c r="J12" s="219"/>
      <c r="K12" s="193"/>
    </row>
    <row r="13" spans="2:13">
      <c r="B13" s="218"/>
      <c r="C13" s="194"/>
      <c r="D13" s="194"/>
      <c r="E13" s="192"/>
      <c r="F13" s="192"/>
      <c r="G13" s="194"/>
      <c r="H13" s="194"/>
      <c r="I13" s="194"/>
      <c r="J13" s="219"/>
      <c r="K13" s="193"/>
    </row>
    <row r="14" spans="2:13">
      <c r="B14" s="218"/>
      <c r="C14" s="194"/>
      <c r="D14" s="194"/>
      <c r="E14" s="192"/>
      <c r="F14" s="192"/>
      <c r="G14" s="194"/>
      <c r="H14" s="194"/>
      <c r="I14" s="194"/>
      <c r="J14" s="219"/>
      <c r="K14" s="193"/>
    </row>
    <row r="15" spans="2:13">
      <c r="B15" s="218"/>
      <c r="C15" s="194"/>
      <c r="D15" s="194"/>
      <c r="E15" s="192"/>
      <c r="F15" s="192"/>
      <c r="G15" s="194"/>
      <c r="H15" s="194"/>
      <c r="I15" s="194"/>
      <c r="J15" s="219"/>
      <c r="K15" s="193"/>
    </row>
    <row r="16" spans="2:13">
      <c r="B16" s="218"/>
      <c r="C16" s="194"/>
      <c r="D16" s="194"/>
      <c r="E16" s="192"/>
      <c r="F16" s="192"/>
      <c r="G16" s="194"/>
      <c r="H16" s="194"/>
      <c r="I16" s="194"/>
      <c r="J16" s="219"/>
      <c r="K16" s="193"/>
    </row>
    <row r="17" spans="2:11">
      <c r="B17" s="190"/>
      <c r="C17" s="191"/>
      <c r="D17" s="191"/>
      <c r="E17" s="191"/>
      <c r="F17" s="191"/>
      <c r="G17" s="191"/>
      <c r="H17" s="458" t="s">
        <v>218</v>
      </c>
      <c r="I17" s="458"/>
      <c r="J17" s="220">
        <f>SUM(K8:K16)</f>
        <v>0</v>
      </c>
      <c r="K17" s="193">
        <f>SUM(K10:K16)+SUM(F10:F16)</f>
        <v>0</v>
      </c>
    </row>
    <row r="18" spans="2:11">
      <c r="B18" s="190"/>
      <c r="C18" s="191"/>
      <c r="D18" s="191"/>
      <c r="E18" s="191"/>
      <c r="F18" s="191"/>
      <c r="G18" s="191"/>
      <c r="H18" s="198"/>
      <c r="I18" s="198"/>
      <c r="J18" s="192"/>
      <c r="K18" s="193"/>
    </row>
    <row r="19" spans="2:11">
      <c r="B19" s="454" t="s">
        <v>348</v>
      </c>
      <c r="C19" s="455"/>
      <c r="D19" s="222"/>
      <c r="E19" s="191"/>
      <c r="F19" s="191"/>
      <c r="G19" s="191"/>
      <c r="H19" s="198"/>
      <c r="I19" s="198" t="s">
        <v>219</v>
      </c>
      <c r="J19" s="199">
        <f>IFERROR(VLOOKUP(F8,Tabulador!$B$3:$C$13,2,FALSE),0)</f>
        <v>0</v>
      </c>
      <c r="K19" s="193">
        <f>J19*$J$4</f>
        <v>0</v>
      </c>
    </row>
    <row r="20" spans="2:11">
      <c r="B20" s="186"/>
      <c r="K20" s="187"/>
    </row>
    <row r="21" spans="2:11">
      <c r="B21" s="186"/>
      <c r="K21" s="187"/>
    </row>
    <row r="22" spans="2:11">
      <c r="B22" s="456" t="s">
        <v>211</v>
      </c>
      <c r="C22" s="457"/>
      <c r="D22" s="188" t="s">
        <v>212</v>
      </c>
      <c r="E22" s="188" t="s">
        <v>202</v>
      </c>
      <c r="F22" s="188" t="s">
        <v>343</v>
      </c>
      <c r="G22" s="188" t="s">
        <v>217</v>
      </c>
      <c r="H22" s="188" t="s">
        <v>213</v>
      </c>
      <c r="I22" s="188" t="s">
        <v>214</v>
      </c>
      <c r="J22" s="188" t="s">
        <v>215</v>
      </c>
      <c r="K22" s="189" t="s">
        <v>216</v>
      </c>
    </row>
    <row r="23" spans="2:11">
      <c r="B23" s="221"/>
      <c r="C23" s="222"/>
      <c r="D23" s="222"/>
      <c r="E23" s="222"/>
      <c r="F23" s="222"/>
      <c r="G23" s="223"/>
      <c r="H23" s="224"/>
      <c r="I23" s="224"/>
      <c r="J23" s="224"/>
      <c r="K23" s="225"/>
    </row>
    <row r="24" spans="2:11">
      <c r="B24" s="221"/>
      <c r="C24" s="222"/>
      <c r="D24" s="222"/>
      <c r="E24" s="222"/>
      <c r="F24" s="222"/>
      <c r="G24" s="223"/>
      <c r="H24" s="224"/>
      <c r="I24" s="224"/>
      <c r="J24" s="224"/>
      <c r="K24" s="225"/>
    </row>
    <row r="25" spans="2:11">
      <c r="B25" s="218"/>
      <c r="C25" s="194"/>
      <c r="D25" s="194"/>
      <c r="E25" s="192"/>
      <c r="F25" s="192"/>
      <c r="G25" s="194"/>
      <c r="H25" s="194"/>
      <c r="I25" s="194"/>
      <c r="J25" s="192"/>
      <c r="K25" s="193"/>
    </row>
    <row r="26" spans="2:11">
      <c r="B26" s="218"/>
      <c r="C26" s="194"/>
      <c r="D26" s="194"/>
      <c r="E26" s="192"/>
      <c r="F26" s="192"/>
      <c r="G26" s="194"/>
      <c r="H26" s="194"/>
      <c r="I26" s="194"/>
      <c r="J26" s="192"/>
      <c r="K26" s="193"/>
    </row>
    <row r="27" spans="2:11">
      <c r="B27" s="218"/>
      <c r="C27" s="194"/>
      <c r="D27" s="194"/>
      <c r="E27" s="192"/>
      <c r="F27" s="192"/>
      <c r="G27" s="194"/>
      <c r="H27" s="194"/>
      <c r="I27" s="194"/>
      <c r="J27" s="219"/>
      <c r="K27" s="193"/>
    </row>
    <row r="28" spans="2:11">
      <c r="B28" s="218"/>
      <c r="C28" s="194"/>
      <c r="D28" s="194"/>
      <c r="E28" s="192"/>
      <c r="F28" s="192"/>
      <c r="G28" s="194"/>
      <c r="H28" s="194"/>
      <c r="I28" s="194"/>
      <c r="J28" s="219"/>
      <c r="K28" s="193"/>
    </row>
    <row r="29" spans="2:11">
      <c r="B29" s="218"/>
      <c r="C29" s="194"/>
      <c r="D29" s="194"/>
      <c r="E29" s="192"/>
      <c r="F29" s="192"/>
      <c r="G29" s="194"/>
      <c r="H29" s="194"/>
      <c r="I29" s="194"/>
      <c r="J29" s="219"/>
      <c r="K29" s="193"/>
    </row>
    <row r="30" spans="2:11">
      <c r="B30" s="218"/>
      <c r="C30" s="194"/>
      <c r="D30" s="194"/>
      <c r="E30" s="192"/>
      <c r="F30" s="192"/>
      <c r="G30" s="194"/>
      <c r="H30" s="194"/>
      <c r="I30" s="194"/>
      <c r="J30" s="219"/>
      <c r="K30" s="193"/>
    </row>
    <row r="31" spans="2:11">
      <c r="B31" s="218"/>
      <c r="C31" s="194"/>
      <c r="D31" s="194"/>
      <c r="E31" s="192"/>
      <c r="F31" s="192"/>
      <c r="G31" s="194"/>
      <c r="H31" s="194"/>
      <c r="I31" s="194"/>
      <c r="J31" s="219"/>
      <c r="K31" s="193"/>
    </row>
    <row r="32" spans="2:11">
      <c r="B32" s="190"/>
      <c r="C32" s="191"/>
      <c r="D32" s="191"/>
      <c r="E32" s="191"/>
      <c r="F32" s="191"/>
      <c r="G32" s="191"/>
      <c r="H32" s="458" t="s">
        <v>218</v>
      </c>
      <c r="I32" s="458"/>
      <c r="J32" s="220">
        <f>SUM(K23:K31)</f>
        <v>0</v>
      </c>
      <c r="K32" s="193">
        <v>0</v>
      </c>
    </row>
    <row r="33" spans="2:19">
      <c r="B33" s="186"/>
      <c r="K33" s="187"/>
    </row>
    <row r="34" spans="2:19">
      <c r="B34" s="454" t="s">
        <v>348</v>
      </c>
      <c r="C34" s="455"/>
      <c r="D34" s="325"/>
      <c r="I34" s="198" t="s">
        <v>219</v>
      </c>
      <c r="J34" s="199">
        <f>IFERROR(VLOOKUP(F23,Tabulador!$B$3:$C$13,2,FALSE),0)</f>
        <v>0</v>
      </c>
      <c r="K34" s="193">
        <f>J34*$J$4</f>
        <v>0</v>
      </c>
    </row>
    <row r="35" spans="2:19">
      <c r="B35" s="186"/>
      <c r="K35" s="187"/>
    </row>
    <row r="36" spans="2:19" ht="13.5" thickBot="1">
      <c r="B36" s="195"/>
      <c r="C36" s="196"/>
      <c r="D36" s="196"/>
      <c r="E36" s="196"/>
      <c r="F36" s="196"/>
      <c r="G36" s="196"/>
      <c r="H36" s="196"/>
      <c r="I36" s="196"/>
      <c r="J36" s="196"/>
      <c r="K36" s="197"/>
    </row>
    <row r="37" spans="2:19">
      <c r="B37" s="456" t="s">
        <v>211</v>
      </c>
      <c r="C37" s="457"/>
      <c r="D37" s="188" t="s">
        <v>212</v>
      </c>
      <c r="E37" s="188" t="s">
        <v>202</v>
      </c>
      <c r="F37" s="188" t="s">
        <v>345</v>
      </c>
      <c r="G37" s="188" t="s">
        <v>217</v>
      </c>
      <c r="H37" s="188" t="s">
        <v>213</v>
      </c>
      <c r="I37" s="188" t="s">
        <v>214</v>
      </c>
      <c r="J37" s="188" t="s">
        <v>215</v>
      </c>
      <c r="K37" s="189" t="s">
        <v>216</v>
      </c>
    </row>
    <row r="38" spans="2:19">
      <c r="B38" s="221"/>
      <c r="C38" s="222"/>
      <c r="D38" s="222"/>
      <c r="E38" s="222"/>
      <c r="F38" s="222"/>
      <c r="G38" s="223"/>
      <c r="H38" s="224"/>
      <c r="I38" s="224"/>
      <c r="J38" s="224"/>
      <c r="K38" s="225"/>
    </row>
    <row r="39" spans="2:19">
      <c r="B39" s="221"/>
      <c r="C39" s="222"/>
      <c r="D39" s="222"/>
      <c r="E39" s="222"/>
      <c r="F39" s="222"/>
      <c r="G39" s="223"/>
      <c r="H39" s="224"/>
      <c r="I39" s="224"/>
      <c r="J39" s="224"/>
      <c r="K39" s="225"/>
    </row>
    <row r="40" spans="2:19">
      <c r="B40" s="218"/>
      <c r="C40" s="194"/>
      <c r="D40" s="194"/>
      <c r="E40" s="192"/>
      <c r="F40" s="192"/>
      <c r="G40" s="194"/>
      <c r="H40" s="194"/>
      <c r="I40" s="194"/>
      <c r="J40" s="192"/>
      <c r="K40" s="193"/>
    </row>
    <row r="41" spans="2:19">
      <c r="B41" s="218"/>
      <c r="C41" s="194"/>
      <c r="D41" s="194"/>
      <c r="E41" s="192"/>
      <c r="F41" s="192"/>
      <c r="G41" s="194"/>
      <c r="H41" s="194"/>
      <c r="I41" s="194"/>
      <c r="J41" s="192"/>
      <c r="K41" s="193"/>
    </row>
    <row r="42" spans="2:19">
      <c r="B42" s="218"/>
      <c r="C42" s="194"/>
      <c r="D42" s="194"/>
      <c r="E42" s="192"/>
      <c r="F42" s="192"/>
      <c r="G42" s="194"/>
      <c r="H42" s="194"/>
      <c r="I42" s="194"/>
      <c r="J42" s="192"/>
      <c r="K42" s="193"/>
      <c r="Q42" s="226"/>
    </row>
    <row r="43" spans="2:19">
      <c r="B43" s="218"/>
      <c r="C43" s="194"/>
      <c r="D43" s="194"/>
      <c r="E43" s="192"/>
      <c r="F43" s="192"/>
      <c r="G43" s="194"/>
      <c r="H43" s="194"/>
      <c r="I43" s="194"/>
      <c r="J43" s="192"/>
      <c r="K43" s="193"/>
      <c r="Q43" s="226"/>
    </row>
    <row r="44" spans="2:19">
      <c r="B44" s="218"/>
      <c r="C44" s="194"/>
      <c r="D44" s="194"/>
      <c r="E44" s="192"/>
      <c r="F44" s="192"/>
      <c r="G44" s="194"/>
      <c r="H44" s="194"/>
      <c r="I44" s="194"/>
      <c r="J44" s="192"/>
      <c r="K44" s="193"/>
      <c r="Q44" s="226"/>
    </row>
    <row r="45" spans="2:19">
      <c r="B45" s="218"/>
      <c r="C45" s="194"/>
      <c r="D45" s="194"/>
      <c r="E45" s="192"/>
      <c r="F45" s="192"/>
      <c r="G45" s="194"/>
      <c r="H45" s="194"/>
      <c r="I45" s="194"/>
      <c r="J45" s="192"/>
      <c r="K45" s="193"/>
      <c r="Q45" s="226"/>
      <c r="S45" s="227"/>
    </row>
    <row r="46" spans="2:19">
      <c r="B46" s="218"/>
      <c r="C46" s="194"/>
      <c r="D46" s="194"/>
      <c r="E46" s="192"/>
      <c r="F46" s="192"/>
      <c r="G46" s="194"/>
      <c r="H46" s="194"/>
      <c r="I46" s="194"/>
      <c r="J46" s="192"/>
      <c r="K46" s="193"/>
      <c r="Q46" s="226"/>
    </row>
    <row r="47" spans="2:19">
      <c r="B47" s="218"/>
      <c r="C47" s="194"/>
      <c r="D47" s="194"/>
      <c r="E47" s="192"/>
      <c r="F47" s="192"/>
      <c r="G47" s="194"/>
      <c r="H47" s="194"/>
      <c r="I47" s="194"/>
      <c r="J47" s="192"/>
      <c r="K47" s="193"/>
      <c r="Q47" s="226"/>
    </row>
    <row r="48" spans="2:19">
      <c r="B48" s="190"/>
      <c r="C48" s="191"/>
      <c r="D48" s="191"/>
      <c r="E48" s="191"/>
      <c r="F48" s="191"/>
      <c r="G48" s="191"/>
      <c r="H48" s="458" t="s">
        <v>218</v>
      </c>
      <c r="I48" s="458"/>
      <c r="J48" s="220">
        <f>SUM(K38:K47)</f>
        <v>0</v>
      </c>
      <c r="K48" s="193"/>
    </row>
    <row r="49" spans="2:17">
      <c r="B49" s="186"/>
      <c r="K49" s="187"/>
    </row>
    <row r="50" spans="2:17">
      <c r="B50" s="454" t="s">
        <v>348</v>
      </c>
      <c r="C50" s="455"/>
      <c r="D50" s="325"/>
      <c r="I50" s="198" t="s">
        <v>219</v>
      </c>
      <c r="J50" s="199">
        <f>IFERROR(VLOOKUP(F38,Tabulador!$B$3:$C$13,2,FALSE),0)</f>
        <v>0</v>
      </c>
      <c r="K50" s="193">
        <f>J50*$J$4</f>
        <v>0</v>
      </c>
    </row>
    <row r="51" spans="2:17">
      <c r="B51" s="186"/>
      <c r="K51" s="187"/>
      <c r="Q51" s="108"/>
    </row>
    <row r="52" spans="2:17" ht="13.5" thickBot="1">
      <c r="B52" s="195"/>
      <c r="C52" s="196"/>
      <c r="D52" s="196"/>
      <c r="E52" s="196"/>
      <c r="F52" s="196"/>
      <c r="G52" s="196"/>
      <c r="H52" s="196"/>
      <c r="I52" s="196"/>
      <c r="J52" s="196"/>
      <c r="K52" s="197"/>
      <c r="Q52" s="108"/>
    </row>
    <row r="53" spans="2:17">
      <c r="B53" s="456" t="s">
        <v>211</v>
      </c>
      <c r="C53" s="457"/>
      <c r="D53" s="188" t="s">
        <v>212</v>
      </c>
      <c r="E53" s="188" t="s">
        <v>202</v>
      </c>
      <c r="F53" s="188" t="s">
        <v>345</v>
      </c>
      <c r="G53" s="188" t="s">
        <v>217</v>
      </c>
      <c r="H53" s="188" t="s">
        <v>213</v>
      </c>
      <c r="I53" s="188" t="s">
        <v>214</v>
      </c>
      <c r="J53" s="188" t="s">
        <v>215</v>
      </c>
      <c r="K53" s="189" t="s">
        <v>216</v>
      </c>
      <c r="Q53" s="108"/>
    </row>
    <row r="54" spans="2:17">
      <c r="B54" s="221"/>
      <c r="C54" s="222"/>
      <c r="D54" s="222"/>
      <c r="E54" s="222"/>
      <c r="F54" s="222"/>
      <c r="G54" s="223"/>
      <c r="H54" s="224"/>
      <c r="I54" s="224"/>
      <c r="J54" s="224"/>
      <c r="K54" s="225"/>
      <c r="Q54" s="108"/>
    </row>
    <row r="55" spans="2:17">
      <c r="B55" s="221"/>
      <c r="C55" s="222"/>
      <c r="D55" s="222"/>
      <c r="E55" s="222"/>
      <c r="F55" s="222"/>
      <c r="G55" s="223"/>
      <c r="H55" s="224"/>
      <c r="I55" s="224"/>
      <c r="J55" s="224"/>
      <c r="K55" s="225"/>
      <c r="Q55" s="108"/>
    </row>
    <row r="56" spans="2:17">
      <c r="B56" s="218"/>
      <c r="C56" s="194"/>
      <c r="D56" s="194"/>
      <c r="E56" s="192"/>
      <c r="F56" s="192"/>
      <c r="G56" s="194"/>
      <c r="H56" s="194"/>
      <c r="I56" s="194"/>
      <c r="J56" s="192"/>
      <c r="K56" s="193"/>
    </row>
    <row r="57" spans="2:17">
      <c r="B57" s="218"/>
      <c r="C57" s="194"/>
      <c r="D57" s="194"/>
      <c r="E57" s="192"/>
      <c r="F57" s="192"/>
      <c r="G57" s="194"/>
      <c r="H57" s="194"/>
      <c r="I57" s="194"/>
      <c r="J57" s="192"/>
      <c r="K57" s="193"/>
    </row>
    <row r="58" spans="2:17">
      <c r="B58" s="218"/>
      <c r="C58" s="194"/>
      <c r="D58" s="194"/>
      <c r="E58" s="192"/>
      <c r="F58" s="192"/>
      <c r="G58" s="194"/>
      <c r="H58" s="194"/>
      <c r="I58" s="194"/>
      <c r="J58" s="192"/>
      <c r="K58" s="193"/>
    </row>
    <row r="59" spans="2:17">
      <c r="B59" s="218"/>
      <c r="C59" s="194"/>
      <c r="D59" s="194"/>
      <c r="E59" s="192"/>
      <c r="F59" s="192"/>
      <c r="G59" s="194"/>
      <c r="H59" s="194"/>
      <c r="I59" s="194"/>
      <c r="J59" s="192"/>
      <c r="K59" s="193"/>
      <c r="Q59" s="108"/>
    </row>
    <row r="60" spans="2:17">
      <c r="B60" s="218"/>
      <c r="C60" s="194"/>
      <c r="D60" s="194"/>
      <c r="E60" s="192"/>
      <c r="F60" s="192"/>
      <c r="G60" s="194"/>
      <c r="H60" s="194"/>
      <c r="I60" s="194"/>
      <c r="J60" s="192"/>
      <c r="K60" s="193"/>
      <c r="Q60" s="108"/>
    </row>
    <row r="61" spans="2:17">
      <c r="B61" s="218"/>
      <c r="C61" s="194"/>
      <c r="D61" s="194"/>
      <c r="E61" s="192"/>
      <c r="F61" s="192"/>
      <c r="G61" s="194"/>
      <c r="H61" s="194"/>
      <c r="I61" s="194"/>
      <c r="J61" s="192"/>
      <c r="K61" s="193"/>
      <c r="Q61" s="108"/>
    </row>
    <row r="62" spans="2:17">
      <c r="B62" s="218"/>
      <c r="C62" s="194"/>
      <c r="D62" s="194"/>
      <c r="E62" s="192"/>
      <c r="F62" s="192"/>
      <c r="G62" s="194"/>
      <c r="H62" s="194"/>
      <c r="I62" s="194"/>
      <c r="J62" s="192"/>
      <c r="K62" s="193"/>
      <c r="Q62" s="108"/>
    </row>
    <row r="63" spans="2:17">
      <c r="B63" s="218"/>
      <c r="C63" s="194"/>
      <c r="D63" s="194"/>
      <c r="E63" s="192"/>
      <c r="F63" s="192"/>
      <c r="G63" s="194"/>
      <c r="H63" s="194"/>
      <c r="I63" s="194"/>
      <c r="J63" s="192"/>
      <c r="K63" s="193"/>
      <c r="Q63" s="108"/>
    </row>
    <row r="64" spans="2:17">
      <c r="B64" s="218"/>
      <c r="C64" s="194"/>
      <c r="D64" s="194"/>
      <c r="E64" s="192"/>
      <c r="F64" s="192"/>
      <c r="G64" s="194"/>
      <c r="H64" s="194"/>
      <c r="I64" s="194"/>
      <c r="J64" s="192"/>
      <c r="K64" s="193"/>
      <c r="Q64" s="108"/>
    </row>
    <row r="65" spans="2:17">
      <c r="B65" s="218"/>
      <c r="C65" s="194"/>
      <c r="D65" s="194"/>
      <c r="E65" s="192"/>
      <c r="F65" s="192"/>
      <c r="G65" s="194"/>
      <c r="H65" s="194"/>
      <c r="I65" s="194"/>
      <c r="J65" s="192"/>
      <c r="K65" s="193"/>
      <c r="Q65" s="108"/>
    </row>
    <row r="66" spans="2:17">
      <c r="B66" s="190"/>
      <c r="C66" s="191"/>
      <c r="D66" s="191"/>
      <c r="E66" s="191"/>
      <c r="F66" s="191"/>
      <c r="G66" s="191"/>
      <c r="H66" s="458" t="s">
        <v>218</v>
      </c>
      <c r="I66" s="458"/>
      <c r="J66" s="220">
        <f>SUM(K54:K65)</f>
        <v>0</v>
      </c>
      <c r="K66" s="193"/>
    </row>
    <row r="67" spans="2:17">
      <c r="B67" s="186"/>
      <c r="K67" s="187"/>
    </row>
    <row r="68" spans="2:17">
      <c r="B68" s="454" t="s">
        <v>348</v>
      </c>
      <c r="C68" s="455"/>
      <c r="D68" s="325"/>
      <c r="I68" s="198" t="s">
        <v>219</v>
      </c>
      <c r="J68" s="199">
        <f>IFERROR(VLOOKUP(F54,Tabulador!$B$3:$C$13,2,FALSE),0)</f>
        <v>0</v>
      </c>
      <c r="K68" s="193">
        <f>J68*$J$4</f>
        <v>0</v>
      </c>
    </row>
    <row r="69" spans="2:17">
      <c r="B69" s="186"/>
      <c r="K69" s="187"/>
    </row>
    <row r="70" spans="2:17" ht="13.5" thickBot="1">
      <c r="B70" s="195"/>
      <c r="C70" s="196"/>
      <c r="D70" s="196"/>
      <c r="E70" s="196"/>
      <c r="F70" s="196"/>
      <c r="G70" s="196"/>
      <c r="H70" s="196"/>
      <c r="I70" s="196"/>
      <c r="J70" s="196"/>
      <c r="K70" s="197"/>
    </row>
    <row r="71" spans="2:17">
      <c r="B71" s="456" t="s">
        <v>211</v>
      </c>
      <c r="C71" s="457"/>
      <c r="D71" s="188" t="s">
        <v>212</v>
      </c>
      <c r="E71" s="188" t="s">
        <v>202</v>
      </c>
      <c r="F71" s="188" t="s">
        <v>345</v>
      </c>
      <c r="G71" s="188" t="s">
        <v>217</v>
      </c>
      <c r="H71" s="188" t="s">
        <v>213</v>
      </c>
      <c r="I71" s="188" t="s">
        <v>214</v>
      </c>
      <c r="J71" s="188" t="s">
        <v>215</v>
      </c>
      <c r="K71" s="189" t="s">
        <v>216</v>
      </c>
    </row>
    <row r="72" spans="2:17">
      <c r="B72" s="221"/>
      <c r="C72" s="222"/>
      <c r="D72" s="222"/>
      <c r="E72" s="222"/>
      <c r="F72" s="222"/>
      <c r="G72" s="223"/>
      <c r="H72" s="224"/>
      <c r="I72" s="224"/>
      <c r="J72" s="224"/>
      <c r="K72" s="225"/>
    </row>
    <row r="73" spans="2:17">
      <c r="B73" s="221"/>
      <c r="C73" s="222"/>
      <c r="D73" s="222"/>
      <c r="E73" s="222"/>
      <c r="F73" s="222"/>
      <c r="G73" s="223"/>
      <c r="H73" s="224"/>
      <c r="I73" s="224"/>
      <c r="J73" s="224"/>
      <c r="K73" s="225"/>
    </row>
    <row r="74" spans="2:17">
      <c r="B74" s="218"/>
      <c r="C74" s="194"/>
      <c r="D74" s="194"/>
      <c r="E74" s="192"/>
      <c r="F74" s="192"/>
      <c r="G74" s="194"/>
      <c r="H74" s="194"/>
      <c r="I74" s="194"/>
      <c r="J74" s="192"/>
      <c r="K74" s="193"/>
    </row>
    <row r="75" spans="2:17">
      <c r="B75" s="218"/>
      <c r="C75" s="194"/>
      <c r="D75" s="194"/>
      <c r="E75" s="192"/>
      <c r="F75" s="192"/>
      <c r="G75" s="194"/>
      <c r="H75" s="194"/>
      <c r="I75" s="194"/>
      <c r="J75" s="192"/>
      <c r="K75" s="193"/>
    </row>
    <row r="76" spans="2:17">
      <c r="B76" s="218"/>
      <c r="C76" s="194"/>
      <c r="D76" s="194"/>
      <c r="E76" s="192"/>
      <c r="F76" s="192"/>
      <c r="G76" s="194"/>
      <c r="H76" s="194"/>
      <c r="I76" s="194"/>
      <c r="J76" s="219"/>
      <c r="K76" s="193"/>
    </row>
    <row r="77" spans="2:17">
      <c r="B77" s="218"/>
      <c r="C77" s="194"/>
      <c r="D77" s="194"/>
      <c r="E77" s="192"/>
      <c r="F77" s="192"/>
      <c r="G77" s="194"/>
      <c r="H77" s="194"/>
      <c r="I77" s="194"/>
      <c r="J77" s="219"/>
      <c r="K77" s="193"/>
    </row>
    <row r="78" spans="2:17">
      <c r="B78" s="218"/>
      <c r="C78" s="194"/>
      <c r="D78" s="194"/>
      <c r="E78" s="192"/>
      <c r="F78" s="192"/>
      <c r="G78" s="194"/>
      <c r="H78" s="194"/>
      <c r="I78" s="194"/>
      <c r="J78" s="219"/>
      <c r="K78" s="193"/>
    </row>
    <row r="79" spans="2:17">
      <c r="B79" s="218"/>
      <c r="C79" s="194"/>
      <c r="D79" s="194"/>
      <c r="E79" s="192"/>
      <c r="F79" s="192"/>
      <c r="G79" s="194"/>
      <c r="H79" s="194"/>
      <c r="I79" s="194"/>
      <c r="J79" s="219"/>
      <c r="K79" s="193"/>
    </row>
    <row r="80" spans="2:17">
      <c r="B80" s="218"/>
      <c r="C80" s="194"/>
      <c r="D80" s="194"/>
      <c r="E80" s="192"/>
      <c r="F80" s="192"/>
      <c r="G80" s="194"/>
      <c r="H80" s="194"/>
      <c r="I80" s="194"/>
      <c r="J80" s="219"/>
      <c r="K80" s="193"/>
    </row>
    <row r="81" spans="2:11">
      <c r="B81" s="218"/>
      <c r="C81" s="194"/>
      <c r="D81" s="194"/>
      <c r="E81" s="192"/>
      <c r="F81" s="192"/>
      <c r="G81" s="194"/>
      <c r="H81" s="194"/>
      <c r="I81" s="194"/>
      <c r="J81" s="219"/>
      <c r="K81" s="193"/>
    </row>
    <row r="82" spans="2:11">
      <c r="B82" s="190"/>
      <c r="C82" s="191"/>
      <c r="D82" s="191"/>
      <c r="E82" s="191"/>
      <c r="F82" s="191"/>
      <c r="G82" s="191"/>
      <c r="H82" s="458" t="s">
        <v>218</v>
      </c>
      <c r="I82" s="458"/>
      <c r="J82" s="220">
        <f>SUM(K72:K81)</f>
        <v>0</v>
      </c>
      <c r="K82" s="193"/>
    </row>
    <row r="83" spans="2:11">
      <c r="B83" s="190"/>
      <c r="C83" s="191"/>
      <c r="D83" s="191"/>
      <c r="E83" s="191"/>
      <c r="F83" s="191"/>
      <c r="G83" s="191"/>
      <c r="H83" s="198"/>
      <c r="I83" s="198"/>
      <c r="K83" s="187"/>
    </row>
    <row r="84" spans="2:11">
      <c r="B84" s="454" t="s">
        <v>348</v>
      </c>
      <c r="C84" s="455"/>
      <c r="D84" s="325"/>
      <c r="E84" s="191"/>
      <c r="F84" s="191"/>
      <c r="G84" s="191"/>
      <c r="H84" s="198"/>
      <c r="I84" s="198" t="s">
        <v>219</v>
      </c>
      <c r="J84" s="199">
        <f>IFERROR(VLOOKUP(F72,Tabulador!$B$3:$C$13,2,FALSE),0)</f>
        <v>0</v>
      </c>
      <c r="K84" s="193">
        <f>J84*$J$4</f>
        <v>0</v>
      </c>
    </row>
    <row r="85" spans="2:11">
      <c r="B85" s="186"/>
      <c r="K85" s="187"/>
    </row>
    <row r="86" spans="2:11">
      <c r="B86" s="186"/>
      <c r="K86" s="187"/>
    </row>
    <row r="87" spans="2:11">
      <c r="B87" s="456" t="s">
        <v>211</v>
      </c>
      <c r="C87" s="457"/>
      <c r="D87" s="188" t="s">
        <v>212</v>
      </c>
      <c r="E87" s="188" t="s">
        <v>202</v>
      </c>
      <c r="F87" s="188" t="s">
        <v>345</v>
      </c>
      <c r="G87" s="188" t="s">
        <v>217</v>
      </c>
      <c r="H87" s="188" t="s">
        <v>213</v>
      </c>
      <c r="I87" s="188" t="s">
        <v>214</v>
      </c>
      <c r="J87" s="188" t="s">
        <v>215</v>
      </c>
      <c r="K87" s="189" t="s">
        <v>216</v>
      </c>
    </row>
    <row r="88" spans="2:11">
      <c r="B88" s="221"/>
      <c r="C88" s="222"/>
      <c r="D88" s="222"/>
      <c r="E88" s="222"/>
      <c r="F88" s="222"/>
      <c r="G88" s="223"/>
      <c r="H88" s="224"/>
      <c r="I88" s="224"/>
      <c r="J88" s="224"/>
      <c r="K88" s="225"/>
    </row>
    <row r="89" spans="2:11">
      <c r="B89" s="221"/>
      <c r="C89" s="222"/>
      <c r="D89" s="222"/>
      <c r="E89" s="222"/>
      <c r="F89" s="222"/>
      <c r="G89" s="223"/>
      <c r="H89" s="224"/>
      <c r="I89" s="224"/>
      <c r="J89" s="224"/>
      <c r="K89" s="225"/>
    </row>
    <row r="90" spans="2:11">
      <c r="B90" s="218"/>
      <c r="C90" s="194"/>
      <c r="D90" s="194"/>
      <c r="E90" s="192"/>
      <c r="F90" s="192"/>
      <c r="G90" s="194"/>
      <c r="H90" s="194"/>
      <c r="I90" s="194"/>
      <c r="J90" s="192"/>
      <c r="K90" s="193"/>
    </row>
    <row r="91" spans="2:11">
      <c r="B91" s="218"/>
      <c r="C91" s="194"/>
      <c r="D91" s="194"/>
      <c r="E91" s="192"/>
      <c r="F91" s="192"/>
      <c r="G91" s="194"/>
      <c r="H91" s="194"/>
      <c r="I91" s="194"/>
      <c r="J91" s="192"/>
      <c r="K91" s="193"/>
    </row>
    <row r="92" spans="2:11">
      <c r="B92" s="218"/>
      <c r="C92" s="194"/>
      <c r="D92" s="194"/>
      <c r="E92" s="192"/>
      <c r="F92" s="192"/>
      <c r="G92" s="194"/>
      <c r="H92" s="194"/>
      <c r="I92" s="194"/>
      <c r="J92" s="219"/>
      <c r="K92" s="193"/>
    </row>
    <row r="93" spans="2:11">
      <c r="B93" s="218"/>
      <c r="C93" s="194"/>
      <c r="D93" s="194"/>
      <c r="E93" s="192"/>
      <c r="F93" s="192"/>
      <c r="G93" s="194"/>
      <c r="H93" s="194"/>
      <c r="I93" s="194"/>
      <c r="J93" s="219"/>
      <c r="K93" s="193"/>
    </row>
    <row r="94" spans="2:11">
      <c r="B94" s="218"/>
      <c r="C94" s="194"/>
      <c r="D94" s="194"/>
      <c r="E94" s="192"/>
      <c r="F94" s="192"/>
      <c r="G94" s="194"/>
      <c r="H94" s="194"/>
      <c r="I94" s="194"/>
      <c r="J94" s="219"/>
      <c r="K94" s="193"/>
    </row>
    <row r="95" spans="2:11">
      <c r="B95" s="218"/>
      <c r="C95" s="194"/>
      <c r="D95" s="194"/>
      <c r="E95" s="192"/>
      <c r="F95" s="192"/>
      <c r="G95" s="194"/>
      <c r="H95" s="194"/>
      <c r="I95" s="194"/>
      <c r="J95" s="219"/>
      <c r="K95" s="193"/>
    </row>
    <row r="96" spans="2:11">
      <c r="B96" s="218"/>
      <c r="C96" s="194"/>
      <c r="D96" s="194"/>
      <c r="E96" s="192"/>
      <c r="F96" s="192"/>
      <c r="G96" s="194"/>
      <c r="H96" s="194"/>
      <c r="I96" s="194"/>
      <c r="J96" s="219"/>
      <c r="K96" s="193"/>
    </row>
    <row r="97" spans="2:11">
      <c r="B97" s="218"/>
      <c r="C97" s="194"/>
      <c r="D97" s="194"/>
      <c r="E97" s="192"/>
      <c r="F97" s="192"/>
      <c r="G97" s="194"/>
      <c r="H97" s="194"/>
      <c r="I97" s="194"/>
      <c r="J97" s="219"/>
      <c r="K97" s="193"/>
    </row>
    <row r="98" spans="2:11">
      <c r="B98" s="190"/>
      <c r="C98" s="191"/>
      <c r="D98" s="191"/>
      <c r="E98" s="191"/>
      <c r="F98" s="191"/>
      <c r="G98" s="191"/>
      <c r="H98" s="458" t="s">
        <v>218</v>
      </c>
      <c r="I98" s="458"/>
      <c r="J98" s="220">
        <f>SUM(K88:K97)</f>
        <v>0</v>
      </c>
      <c r="K98" s="193"/>
    </row>
    <row r="99" spans="2:11">
      <c r="B99" s="186"/>
      <c r="K99" s="187"/>
    </row>
    <row r="100" spans="2:11">
      <c r="B100" s="454" t="s">
        <v>348</v>
      </c>
      <c r="C100" s="455"/>
      <c r="D100" s="325"/>
      <c r="I100" s="198" t="s">
        <v>219</v>
      </c>
      <c r="J100" s="199">
        <f>IFERROR(VLOOKUP(F88,Tabulador!$B$3:$C$13,2,FALSE),0)</f>
        <v>0</v>
      </c>
      <c r="K100" s="193">
        <f>J100*$J$4</f>
        <v>0</v>
      </c>
    </row>
    <row r="101" spans="2:11">
      <c r="B101" s="186"/>
      <c r="K101" s="187"/>
    </row>
    <row r="102" spans="2:11" ht="13.5" thickBot="1">
      <c r="B102" s="195"/>
      <c r="C102" s="196"/>
      <c r="D102" s="196"/>
      <c r="E102" s="196"/>
      <c r="F102" s="196"/>
      <c r="G102" s="196"/>
      <c r="H102" s="196"/>
      <c r="I102" s="196"/>
      <c r="J102" s="196"/>
      <c r="K102" s="197"/>
    </row>
    <row r="103" spans="2:11">
      <c r="B103" s="456" t="s">
        <v>211</v>
      </c>
      <c r="C103" s="457"/>
      <c r="D103" s="188" t="s">
        <v>212</v>
      </c>
      <c r="E103" s="188" t="s">
        <v>202</v>
      </c>
      <c r="F103" s="188"/>
      <c r="G103" s="188" t="s">
        <v>217</v>
      </c>
      <c r="H103" s="188" t="s">
        <v>213</v>
      </c>
      <c r="I103" s="188" t="s">
        <v>214</v>
      </c>
      <c r="J103" s="188" t="s">
        <v>215</v>
      </c>
      <c r="K103" s="189" t="s">
        <v>216</v>
      </c>
    </row>
    <row r="104" spans="2:11">
      <c r="B104" s="221"/>
      <c r="C104" s="222"/>
      <c r="D104" s="222"/>
      <c r="E104" s="222"/>
      <c r="F104" s="222"/>
      <c r="G104" s="223"/>
      <c r="H104" s="224"/>
      <c r="I104" s="224"/>
      <c r="J104" s="224"/>
      <c r="K104" s="225"/>
    </row>
    <row r="105" spans="2:11">
      <c r="B105" s="221"/>
      <c r="C105" s="222"/>
      <c r="D105" s="222"/>
      <c r="E105" s="222"/>
      <c r="F105" s="222"/>
      <c r="G105" s="223"/>
      <c r="H105" s="224"/>
      <c r="I105" s="224"/>
      <c r="J105" s="224"/>
      <c r="K105" s="225"/>
    </row>
    <row r="106" spans="2:11">
      <c r="B106" s="218"/>
      <c r="C106" s="194"/>
      <c r="D106" s="194"/>
      <c r="E106" s="192"/>
      <c r="F106" s="192"/>
      <c r="G106" s="194"/>
      <c r="H106" s="194"/>
      <c r="I106" s="194"/>
      <c r="J106" s="192"/>
      <c r="K106" s="193"/>
    </row>
    <row r="107" spans="2:11">
      <c r="B107" s="218"/>
      <c r="C107" s="194"/>
      <c r="D107" s="194"/>
      <c r="E107" s="192"/>
      <c r="F107" s="192"/>
      <c r="G107" s="194"/>
      <c r="H107" s="194"/>
      <c r="I107" s="194"/>
      <c r="J107" s="192"/>
      <c r="K107" s="193"/>
    </row>
    <row r="108" spans="2:11">
      <c r="B108" s="218"/>
      <c r="C108" s="194"/>
      <c r="D108" s="194"/>
      <c r="E108" s="192"/>
      <c r="F108" s="192"/>
      <c r="G108" s="194"/>
      <c r="H108" s="194"/>
      <c r="I108" s="194"/>
      <c r="J108" s="192"/>
      <c r="K108" s="193"/>
    </row>
    <row r="109" spans="2:11">
      <c r="B109" s="218"/>
      <c r="C109" s="194"/>
      <c r="D109" s="194"/>
      <c r="E109" s="192"/>
      <c r="F109" s="192"/>
      <c r="G109" s="194"/>
      <c r="H109" s="194"/>
      <c r="I109" s="194"/>
      <c r="J109" s="192"/>
      <c r="K109" s="193"/>
    </row>
    <row r="110" spans="2:11">
      <c r="B110" s="218"/>
      <c r="C110" s="194"/>
      <c r="D110" s="194"/>
      <c r="E110" s="192"/>
      <c r="F110" s="192"/>
      <c r="G110" s="194"/>
      <c r="H110" s="194"/>
      <c r="I110" s="194"/>
      <c r="J110" s="192"/>
      <c r="K110" s="193"/>
    </row>
    <row r="111" spans="2:11">
      <c r="B111" s="218"/>
      <c r="C111" s="194"/>
      <c r="D111" s="194"/>
      <c r="E111" s="192"/>
      <c r="F111" s="192"/>
      <c r="G111" s="194"/>
      <c r="H111" s="194"/>
      <c r="I111" s="194"/>
      <c r="J111" s="192"/>
      <c r="K111" s="193"/>
    </row>
    <row r="112" spans="2:11">
      <c r="B112" s="218"/>
      <c r="C112" s="194"/>
      <c r="D112" s="194"/>
      <c r="E112" s="192"/>
      <c r="F112" s="192"/>
      <c r="G112" s="194"/>
      <c r="H112" s="194"/>
      <c r="I112" s="194"/>
      <c r="J112" s="192"/>
      <c r="K112" s="193"/>
    </row>
    <row r="113" spans="2:11">
      <c r="B113" s="218"/>
      <c r="C113" s="194"/>
      <c r="D113" s="194"/>
      <c r="E113" s="192"/>
      <c r="F113" s="192"/>
      <c r="G113" s="194"/>
      <c r="H113" s="194"/>
      <c r="I113" s="194"/>
      <c r="J113" s="192"/>
      <c r="K113" s="193"/>
    </row>
    <row r="114" spans="2:11">
      <c r="B114" s="190"/>
      <c r="C114" s="191"/>
      <c r="D114" s="191"/>
      <c r="E114" s="191"/>
      <c r="F114" s="191"/>
      <c r="G114" s="191"/>
      <c r="H114" s="458" t="s">
        <v>218</v>
      </c>
      <c r="I114" s="458"/>
      <c r="J114" s="220">
        <f>SUM(K104:K113)</f>
        <v>0</v>
      </c>
      <c r="K114" s="193"/>
    </row>
    <row r="115" spans="2:11">
      <c r="B115" s="186"/>
      <c r="K115" s="187"/>
    </row>
    <row r="116" spans="2:11">
      <c r="B116" s="454" t="s">
        <v>348</v>
      </c>
      <c r="C116" s="455"/>
      <c r="D116" s="325"/>
      <c r="I116" s="198" t="s">
        <v>219</v>
      </c>
      <c r="J116" s="199">
        <f>IFERROR(VLOOKUP(F104,Tabulador!$B$3:$C$13,2,FALSE),0)</f>
        <v>0</v>
      </c>
      <c r="K116" s="193">
        <f>J116*$J$4</f>
        <v>0</v>
      </c>
    </row>
    <row r="117" spans="2:11">
      <c r="B117" s="186"/>
      <c r="K117" s="187"/>
    </row>
    <row r="118" spans="2:11" ht="13.5" thickBot="1">
      <c r="B118" s="195"/>
      <c r="C118" s="196"/>
      <c r="D118" s="196"/>
      <c r="E118" s="196"/>
      <c r="F118" s="196"/>
      <c r="G118" s="196"/>
      <c r="H118" s="196"/>
      <c r="I118" s="196"/>
      <c r="J118" s="196"/>
      <c r="K118" s="197"/>
    </row>
    <row r="119" spans="2:11">
      <c r="B119" s="456" t="s">
        <v>211</v>
      </c>
      <c r="C119" s="457"/>
      <c r="D119" s="188" t="s">
        <v>212</v>
      </c>
      <c r="E119" s="188" t="s">
        <v>202</v>
      </c>
      <c r="F119" s="188" t="s">
        <v>345</v>
      </c>
      <c r="G119" s="188" t="s">
        <v>217</v>
      </c>
      <c r="H119" s="188" t="s">
        <v>213</v>
      </c>
      <c r="I119" s="188" t="s">
        <v>214</v>
      </c>
      <c r="J119" s="188" t="s">
        <v>215</v>
      </c>
      <c r="K119" s="189" t="s">
        <v>216</v>
      </c>
    </row>
    <row r="120" spans="2:11">
      <c r="B120" s="218"/>
      <c r="C120" s="194"/>
      <c r="D120" s="194"/>
      <c r="E120" s="192"/>
      <c r="F120" s="192"/>
      <c r="G120" s="194"/>
      <c r="H120" s="194"/>
      <c r="I120" s="194"/>
      <c r="J120" s="192"/>
      <c r="K120" s="193"/>
    </row>
    <row r="121" spans="2:11">
      <c r="B121" s="218"/>
      <c r="C121" s="194"/>
      <c r="D121" s="194"/>
      <c r="E121" s="192"/>
      <c r="F121" s="192"/>
      <c r="G121" s="194"/>
      <c r="H121" s="194"/>
      <c r="I121" s="194"/>
      <c r="J121" s="192"/>
      <c r="K121" s="193"/>
    </row>
    <row r="122" spans="2:11">
      <c r="B122" s="218"/>
      <c r="C122" s="194"/>
      <c r="D122" s="194"/>
      <c r="E122" s="192"/>
      <c r="F122" s="192"/>
      <c r="G122" s="194"/>
      <c r="H122" s="194"/>
      <c r="I122" s="194"/>
      <c r="J122" s="192"/>
      <c r="K122" s="193"/>
    </row>
    <row r="123" spans="2:11">
      <c r="B123" s="218"/>
      <c r="C123" s="194"/>
      <c r="D123" s="194"/>
      <c r="E123" s="192"/>
      <c r="F123" s="192"/>
      <c r="G123" s="194"/>
      <c r="H123" s="194"/>
      <c r="I123" s="194"/>
      <c r="J123" s="192"/>
      <c r="K123" s="193"/>
    </row>
    <row r="124" spans="2:11">
      <c r="B124" s="218"/>
      <c r="C124" s="194"/>
      <c r="D124" s="194"/>
      <c r="E124" s="192"/>
      <c r="F124" s="192"/>
      <c r="G124" s="194"/>
      <c r="H124" s="194"/>
      <c r="I124" s="194"/>
      <c r="J124" s="192"/>
      <c r="K124" s="193"/>
    </row>
    <row r="125" spans="2:11">
      <c r="B125" s="218"/>
      <c r="C125" s="194"/>
      <c r="D125" s="194"/>
      <c r="E125" s="192"/>
      <c r="F125" s="192"/>
      <c r="G125" s="194"/>
      <c r="H125" s="194"/>
      <c r="I125" s="194"/>
      <c r="J125" s="192"/>
      <c r="K125" s="193"/>
    </row>
    <row r="126" spans="2:11">
      <c r="B126" s="218"/>
      <c r="C126" s="194"/>
      <c r="D126" s="194"/>
      <c r="E126" s="192"/>
      <c r="F126" s="192"/>
      <c r="G126" s="194"/>
      <c r="H126" s="194"/>
      <c r="I126" s="194"/>
      <c r="J126" s="192"/>
      <c r="K126" s="193"/>
    </row>
    <row r="127" spans="2:11">
      <c r="B127" s="218"/>
      <c r="C127" s="194"/>
      <c r="D127" s="194"/>
      <c r="E127" s="192"/>
      <c r="F127" s="192"/>
      <c r="G127" s="194"/>
      <c r="H127" s="194"/>
      <c r="I127" s="194"/>
      <c r="J127" s="192"/>
      <c r="K127" s="193"/>
    </row>
    <row r="128" spans="2:11">
      <c r="B128" s="190"/>
      <c r="C128" s="191"/>
      <c r="D128" s="191"/>
      <c r="E128" s="191"/>
      <c r="F128" s="191"/>
      <c r="G128" s="194"/>
      <c r="H128" s="194"/>
      <c r="I128" s="194"/>
      <c r="J128" s="192"/>
      <c r="K128" s="193"/>
    </row>
    <row r="129" spans="2:11">
      <c r="B129" s="190"/>
      <c r="C129" s="191"/>
      <c r="D129" s="191"/>
      <c r="E129" s="191"/>
      <c r="F129" s="191"/>
      <c r="G129" s="194"/>
      <c r="H129" s="194"/>
      <c r="I129" s="194"/>
      <c r="J129" s="192"/>
      <c r="K129" s="193"/>
    </row>
    <row r="130" spans="2:11">
      <c r="B130" s="190"/>
      <c r="C130" s="191"/>
      <c r="D130" s="191"/>
      <c r="E130" s="191"/>
      <c r="F130" s="191"/>
      <c r="G130" s="194"/>
      <c r="H130" s="194"/>
      <c r="I130" s="194"/>
      <c r="J130" s="192"/>
      <c r="K130" s="193"/>
    </row>
    <row r="131" spans="2:11">
      <c r="B131" s="190"/>
      <c r="C131" s="191"/>
      <c r="D131" s="191"/>
      <c r="E131" s="191"/>
      <c r="F131" s="191"/>
      <c r="G131" s="191"/>
      <c r="H131" s="458" t="s">
        <v>218</v>
      </c>
      <c r="I131" s="458"/>
      <c r="J131" s="220">
        <f>SUM(K120:K130)</f>
        <v>0</v>
      </c>
      <c r="K131" s="193"/>
    </row>
    <row r="132" spans="2:11">
      <c r="B132" s="186"/>
      <c r="K132" s="187"/>
    </row>
    <row r="133" spans="2:11">
      <c r="B133" s="454" t="s">
        <v>348</v>
      </c>
      <c r="C133" s="455"/>
      <c r="D133" s="325"/>
      <c r="I133" s="198" t="s">
        <v>219</v>
      </c>
      <c r="J133" s="199">
        <f>IFERROR(VLOOKUP(F120,Tabulador!$B$3:$C$13,2,FALSE),0)</f>
        <v>0</v>
      </c>
      <c r="K133" s="193">
        <f>J133*$J$4</f>
        <v>0</v>
      </c>
    </row>
    <row r="134" spans="2:11">
      <c r="B134" s="186"/>
      <c r="K134" s="187"/>
    </row>
    <row r="135" spans="2:11" ht="13.5" thickBot="1">
      <c r="B135" s="195"/>
      <c r="C135" s="196"/>
      <c r="D135" s="196"/>
      <c r="E135" s="196"/>
      <c r="F135" s="196"/>
      <c r="G135" s="196"/>
      <c r="H135" s="196"/>
      <c r="I135" s="196"/>
      <c r="J135" s="196"/>
      <c r="K135" s="197"/>
    </row>
  </sheetData>
  <mergeCells count="26">
    <mergeCell ref="H82:I82"/>
    <mergeCell ref="B87:C87"/>
    <mergeCell ref="B1:K2"/>
    <mergeCell ref="H17:I17"/>
    <mergeCell ref="B22:C22"/>
    <mergeCell ref="D3:H4"/>
    <mergeCell ref="B7:C7"/>
    <mergeCell ref="B19:C19"/>
    <mergeCell ref="H32:I32"/>
    <mergeCell ref="B53:C53"/>
    <mergeCell ref="H66:I66"/>
    <mergeCell ref="B37:C37"/>
    <mergeCell ref="H48:I48"/>
    <mergeCell ref="B34:C34"/>
    <mergeCell ref="B50:C50"/>
    <mergeCell ref="B68:C68"/>
    <mergeCell ref="H114:I114"/>
    <mergeCell ref="B119:C119"/>
    <mergeCell ref="H131:I131"/>
    <mergeCell ref="H98:I98"/>
    <mergeCell ref="B103:C103"/>
    <mergeCell ref="B84:C84"/>
    <mergeCell ref="B100:C100"/>
    <mergeCell ref="B116:C116"/>
    <mergeCell ref="B133:C133"/>
    <mergeCell ref="B71:C71"/>
  </mergeCells>
  <pageMargins left="0.70866141732283472" right="0.70866141732283472" top="0.74803149606299213" bottom="0.74803149606299213" header="0.31496062992125984" footer="0.31496062992125984"/>
  <pageSetup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9</xdr:col>
                    <xdr:colOff>428625</xdr:colOff>
                    <xdr:row>0</xdr:row>
                    <xdr:rowOff>66675</xdr:rowOff>
                  </from>
                  <to>
                    <xdr:col>10</xdr:col>
                    <xdr:colOff>828675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AD32"/>
  <sheetViews>
    <sheetView topLeftCell="G1" zoomScale="60" zoomScaleNormal="60" workbookViewId="0">
      <selection activeCell="X14" sqref="X14:AD16"/>
    </sheetView>
  </sheetViews>
  <sheetFormatPr baseColWidth="10" defaultRowHeight="12.75"/>
  <cols>
    <col min="1" max="1" width="2.7109375" customWidth="1"/>
    <col min="2" max="2" width="4.42578125" customWidth="1"/>
    <col min="3" max="3" width="10" customWidth="1"/>
    <col min="4" max="4" width="27" customWidth="1"/>
    <col min="5" max="5" width="16" customWidth="1"/>
    <col min="6" max="6" width="17" customWidth="1"/>
    <col min="7" max="7" width="4.42578125" customWidth="1"/>
    <col min="8" max="8" width="3.42578125" customWidth="1"/>
    <col min="9" max="9" width="5.28515625" customWidth="1"/>
    <col min="10" max="10" width="9.28515625" customWidth="1"/>
    <col min="11" max="11" width="26.85546875" customWidth="1"/>
    <col min="12" max="12" width="16.7109375" customWidth="1"/>
    <col min="13" max="13" width="17.28515625" customWidth="1"/>
    <col min="14" max="14" width="3.85546875" customWidth="1"/>
    <col min="15" max="15" width="4.42578125" customWidth="1"/>
    <col min="16" max="16" width="8.5703125" customWidth="1"/>
    <col min="17" max="17" width="8.85546875" customWidth="1"/>
    <col min="18" max="18" width="26.7109375" customWidth="1"/>
    <col min="19" max="19" width="14.42578125" customWidth="1"/>
    <col min="20" max="20" width="18.7109375" customWidth="1"/>
    <col min="21" max="21" width="4.85546875" customWidth="1"/>
    <col min="24" max="24" width="21.140625" customWidth="1"/>
    <col min="25" max="25" width="14.7109375" customWidth="1"/>
    <col min="26" max="26" width="14.42578125" customWidth="1"/>
    <col min="27" max="27" width="16" bestFit="1" customWidth="1"/>
    <col min="28" max="28" width="18.140625" bestFit="1" customWidth="1"/>
  </cols>
  <sheetData>
    <row r="1" spans="2:30" ht="18.75">
      <c r="AA1" s="86"/>
    </row>
    <row r="2" spans="2:30" ht="18.75">
      <c r="X2" s="232">
        <f>RELACIÓN!B1</f>
        <v>45628</v>
      </c>
      <c r="Y2" s="232">
        <f>RELACIÓN!B2</f>
        <v>45632</v>
      </c>
      <c r="AA2" s="86"/>
    </row>
    <row r="3" spans="2:30">
      <c r="B3" s="200"/>
      <c r="C3" s="467" t="s">
        <v>138</v>
      </c>
      <c r="D3" s="467"/>
      <c r="E3" s="200"/>
      <c r="F3" s="467" t="s">
        <v>221</v>
      </c>
      <c r="G3" s="467"/>
      <c r="I3" s="88"/>
      <c r="J3" s="468" t="s">
        <v>139</v>
      </c>
      <c r="K3" s="468"/>
      <c r="L3" s="88"/>
      <c r="M3" s="468" t="s">
        <v>222</v>
      </c>
      <c r="N3" s="468"/>
      <c r="P3" s="377"/>
      <c r="Q3" s="466" t="s">
        <v>397</v>
      </c>
      <c r="R3" s="466"/>
      <c r="S3" s="377"/>
      <c r="T3" s="466" t="s">
        <v>398</v>
      </c>
      <c r="U3" s="466"/>
      <c r="Y3" t="s">
        <v>140</v>
      </c>
      <c r="Z3" t="s">
        <v>3</v>
      </c>
      <c r="AA3" t="s">
        <v>396</v>
      </c>
    </row>
    <row r="4" spans="2:30" ht="18">
      <c r="B4" s="200"/>
      <c r="C4" s="230" t="s">
        <v>226</v>
      </c>
      <c r="D4" s="200"/>
      <c r="E4" s="200"/>
      <c r="F4" s="200"/>
      <c r="G4" s="200"/>
      <c r="I4" s="88"/>
      <c r="J4" s="231" t="s">
        <v>226</v>
      </c>
      <c r="K4" s="88"/>
      <c r="L4" s="88"/>
      <c r="M4" s="88"/>
      <c r="N4" s="88"/>
      <c r="P4" s="377"/>
      <c r="Q4" s="378" t="s">
        <v>226</v>
      </c>
      <c r="R4" s="377"/>
      <c r="S4" s="377"/>
      <c r="T4" s="377"/>
      <c r="U4" s="377"/>
      <c r="X4" t="str">
        <f>"FLETE "&amp;TEXT(X2,"dd/mm")&amp;" al "&amp;TEXT(Y2,"dd/mm/aa")</f>
        <v>FLETE 02/12 al 06/12/aa</v>
      </c>
      <c r="Y4" s="74">
        <f>RELACIÓN!AA46</f>
        <v>1513.47</v>
      </c>
      <c r="Z4" s="74">
        <f>RELACIÓN!AH46</f>
        <v>286.73</v>
      </c>
      <c r="AA4" s="74">
        <f>RELACIÓN!AO46</f>
        <v>37.799999999999997</v>
      </c>
      <c r="AB4" s="87"/>
    </row>
    <row r="5" spans="2:30" ht="18.75" thickBot="1">
      <c r="B5" s="200"/>
      <c r="C5" s="230" t="s">
        <v>227</v>
      </c>
      <c r="D5" s="200"/>
      <c r="E5" s="200"/>
      <c r="F5" s="200"/>
      <c r="G5" s="200"/>
      <c r="I5" s="88"/>
      <c r="J5" s="231" t="s">
        <v>227</v>
      </c>
      <c r="K5" s="88"/>
      <c r="L5" s="88"/>
      <c r="M5" s="88"/>
      <c r="N5" s="88"/>
      <c r="P5" s="377"/>
      <c r="Q5" s="378" t="s">
        <v>227</v>
      </c>
      <c r="R5" s="377"/>
      <c r="S5" s="377"/>
      <c r="T5" s="377"/>
      <c r="U5" s="377"/>
      <c r="X5" t="s">
        <v>380</v>
      </c>
      <c r="Y5" s="74">
        <f>RELACIÓN!AB46</f>
        <v>166.26</v>
      </c>
      <c r="Z5" s="74">
        <f>RELACIÓN!AI46</f>
        <v>21.85</v>
      </c>
      <c r="AA5" s="74">
        <f>RELACIÓN!AP46</f>
        <v>1.89</v>
      </c>
      <c r="AB5" s="87"/>
    </row>
    <row r="6" spans="2:30" ht="19.5" thickTop="1" thickBot="1">
      <c r="B6" s="200"/>
      <c r="C6" s="399" t="s">
        <v>142</v>
      </c>
      <c r="D6" s="400" t="s">
        <v>143</v>
      </c>
      <c r="E6" s="400" t="s">
        <v>144</v>
      </c>
      <c r="F6" s="401" t="s">
        <v>145</v>
      </c>
      <c r="G6" s="200"/>
      <c r="I6" s="88"/>
      <c r="J6" s="89" t="s">
        <v>142</v>
      </c>
      <c r="K6" s="90" t="s">
        <v>143</v>
      </c>
      <c r="L6" s="90" t="s">
        <v>144</v>
      </c>
      <c r="M6" s="91" t="s">
        <v>145</v>
      </c>
      <c r="N6" s="88"/>
      <c r="P6" s="377"/>
      <c r="Q6" s="379" t="s">
        <v>142</v>
      </c>
      <c r="R6" s="380" t="s">
        <v>143</v>
      </c>
      <c r="S6" s="380" t="s">
        <v>144</v>
      </c>
      <c r="T6" s="381" t="s">
        <v>145</v>
      </c>
      <c r="U6" s="377"/>
      <c r="X6" t="s">
        <v>37</v>
      </c>
      <c r="Y6" s="74">
        <f>RELACIÓN!AC46</f>
        <v>143.34</v>
      </c>
      <c r="Z6" s="74">
        <f>RELACIÓN!AJ46</f>
        <v>25.86</v>
      </c>
      <c r="AA6" s="74">
        <f>RELACIÓN!AQ46</f>
        <v>0</v>
      </c>
      <c r="AB6" s="87"/>
    </row>
    <row r="7" spans="2:30" ht="20.25" thickTop="1">
      <c r="B7" s="200"/>
      <c r="C7" s="201"/>
      <c r="D7" s="202" t="s">
        <v>405</v>
      </c>
      <c r="E7" s="203"/>
      <c r="F7" s="204">
        <v>145396.28</v>
      </c>
      <c r="G7" s="200"/>
      <c r="I7" s="88"/>
      <c r="J7" s="92"/>
      <c r="K7" s="93" t="s">
        <v>405</v>
      </c>
      <c r="L7" s="94"/>
      <c r="M7" s="95">
        <v>36382.18</v>
      </c>
      <c r="N7" s="88"/>
      <c r="P7" s="377"/>
      <c r="Q7" s="382"/>
      <c r="R7" s="383" t="s">
        <v>405</v>
      </c>
      <c r="S7" s="384"/>
      <c r="T7" s="385">
        <v>4002.24</v>
      </c>
      <c r="U7" s="377"/>
      <c r="X7" t="s">
        <v>36</v>
      </c>
      <c r="Y7" s="74">
        <f>RELACIÓN!AD46</f>
        <v>55.23</v>
      </c>
      <c r="Z7" s="74">
        <f>RELACIÓN!AK46</f>
        <v>5.97</v>
      </c>
      <c r="AA7" s="74">
        <f>RELACIÓN!AR46</f>
        <v>0</v>
      </c>
      <c r="AB7" s="87"/>
    </row>
    <row r="8" spans="2:30" ht="19.5">
      <c r="B8" s="200"/>
      <c r="C8" s="205"/>
      <c r="D8" s="202" t="s">
        <v>380</v>
      </c>
      <c r="E8" s="202"/>
      <c r="F8" s="206">
        <v>5695.25</v>
      </c>
      <c r="G8" s="200"/>
      <c r="I8" s="88"/>
      <c r="J8" s="96"/>
      <c r="K8" s="93" t="s">
        <v>380</v>
      </c>
      <c r="L8" s="93"/>
      <c r="M8" s="97">
        <v>2656.34</v>
      </c>
      <c r="N8" s="88"/>
      <c r="P8" s="377"/>
      <c r="Q8" s="386"/>
      <c r="R8" s="383" t="s">
        <v>380</v>
      </c>
      <c r="S8" s="383"/>
      <c r="T8" s="387">
        <v>448.07</v>
      </c>
      <c r="U8" s="377"/>
      <c r="X8" t="s">
        <v>38</v>
      </c>
      <c r="Y8" s="74">
        <f>RELACIÓN!AE46</f>
        <v>0</v>
      </c>
      <c r="Z8" s="74">
        <f>RELACIÓN!AL46</f>
        <v>0</v>
      </c>
      <c r="AA8" s="74">
        <f>RELACIÓN!AS46</f>
        <v>0</v>
      </c>
      <c r="AB8" s="87"/>
    </row>
    <row r="9" spans="2:30" ht="19.5">
      <c r="B9" s="200"/>
      <c r="C9" s="205"/>
      <c r="D9" s="202" t="s">
        <v>37</v>
      </c>
      <c r="E9" s="202"/>
      <c r="F9" s="206">
        <v>23062.92</v>
      </c>
      <c r="G9" s="200"/>
      <c r="I9" s="88"/>
      <c r="J9" s="96"/>
      <c r="K9" s="93" t="s">
        <v>37</v>
      </c>
      <c r="L9" s="93"/>
      <c r="M9" s="98">
        <v>6956.06</v>
      </c>
      <c r="N9" s="88"/>
      <c r="P9" s="377"/>
      <c r="Q9" s="386"/>
      <c r="R9" s="383" t="s">
        <v>37</v>
      </c>
      <c r="S9" s="383"/>
      <c r="T9" s="388">
        <v>327.23</v>
      </c>
      <c r="U9" s="377"/>
      <c r="X9" t="s">
        <v>35</v>
      </c>
      <c r="Y9" s="74">
        <f>RELACIÓN!AF46</f>
        <v>0</v>
      </c>
      <c r="Z9" s="74">
        <f>RELACIÓN!AM46</f>
        <v>0</v>
      </c>
      <c r="AA9" s="74">
        <f>RELACIÓN!AT46</f>
        <v>0</v>
      </c>
      <c r="AB9" s="87"/>
    </row>
    <row r="10" spans="2:30" ht="16.5">
      <c r="B10" s="200"/>
      <c r="C10" s="205"/>
      <c r="D10" s="202" t="s">
        <v>36</v>
      </c>
      <c r="E10" s="202"/>
      <c r="F10" s="206">
        <v>44.01</v>
      </c>
      <c r="G10" s="200"/>
      <c r="I10" s="88"/>
      <c r="J10" s="96"/>
      <c r="K10" s="93" t="s">
        <v>36</v>
      </c>
      <c r="L10" s="93"/>
      <c r="M10" s="97">
        <v>93.13</v>
      </c>
      <c r="N10" s="88"/>
      <c r="P10" s="377"/>
      <c r="Q10" s="386"/>
      <c r="R10" s="383" t="s">
        <v>36</v>
      </c>
      <c r="S10" s="383"/>
      <c r="T10" s="387">
        <v>146.71</v>
      </c>
      <c r="U10" s="377"/>
      <c r="X10" t="s">
        <v>152</v>
      </c>
      <c r="Y10" s="74">
        <f>RELACIÓN!AG46</f>
        <v>0</v>
      </c>
      <c r="Z10" s="108">
        <f>RELACIÓN!AN46</f>
        <v>0</v>
      </c>
      <c r="AA10" s="108">
        <f>RELACIÓN!AU46</f>
        <v>0</v>
      </c>
    </row>
    <row r="11" spans="2:30" ht="16.5">
      <c r="B11" s="200"/>
      <c r="C11" s="205"/>
      <c r="D11" s="202" t="s">
        <v>38</v>
      </c>
      <c r="E11" s="202"/>
      <c r="F11" s="206">
        <v>3851.59</v>
      </c>
      <c r="G11" s="200"/>
      <c r="I11" s="88"/>
      <c r="J11" s="96"/>
      <c r="K11" s="93" t="s">
        <v>38</v>
      </c>
      <c r="L11" s="93"/>
      <c r="M11" s="97">
        <v>648.41999999999996</v>
      </c>
      <c r="N11" s="88"/>
      <c r="P11" s="377"/>
      <c r="Q11" s="386"/>
      <c r="R11" s="383" t="s">
        <v>38</v>
      </c>
      <c r="S11" s="383"/>
      <c r="T11" s="387">
        <v>5</v>
      </c>
      <c r="U11" s="377"/>
    </row>
    <row r="12" spans="2:30" ht="16.5">
      <c r="B12" s="200"/>
      <c r="C12" s="205"/>
      <c r="D12" s="202" t="s">
        <v>152</v>
      </c>
      <c r="E12" s="202"/>
      <c r="F12" s="206">
        <v>556.46</v>
      </c>
      <c r="G12" s="200"/>
      <c r="I12" s="88"/>
      <c r="J12" s="96"/>
      <c r="K12" s="93" t="s">
        <v>152</v>
      </c>
      <c r="L12" s="93"/>
      <c r="M12" s="97">
        <v>127.93</v>
      </c>
      <c r="N12" s="88"/>
      <c r="P12" s="377"/>
      <c r="Q12" s="386"/>
      <c r="R12" s="383" t="s">
        <v>152</v>
      </c>
      <c r="S12" s="383"/>
      <c r="T12" s="387">
        <v>18.16</v>
      </c>
      <c r="U12" s="377"/>
    </row>
    <row r="13" spans="2:30" ht="16.5">
      <c r="B13" s="200"/>
      <c r="C13" s="205"/>
      <c r="D13" s="202"/>
      <c r="E13" s="202"/>
      <c r="F13" s="206"/>
      <c r="G13" s="200"/>
      <c r="I13" s="88"/>
      <c r="J13" s="96"/>
      <c r="K13" s="93"/>
      <c r="L13" s="93"/>
      <c r="M13" s="97"/>
      <c r="N13" s="88"/>
      <c r="P13" s="377"/>
      <c r="Q13" s="386"/>
      <c r="R13" s="383"/>
      <c r="S13" s="383"/>
      <c r="T13" s="387"/>
      <c r="U13" s="377"/>
      <c r="X13" t="s">
        <v>141</v>
      </c>
      <c r="Y13" t="s">
        <v>399</v>
      </c>
      <c r="Z13" t="s">
        <v>35</v>
      </c>
      <c r="AA13" t="s">
        <v>37</v>
      </c>
      <c r="AB13" t="s">
        <v>36</v>
      </c>
      <c r="AC13" t="s">
        <v>38</v>
      </c>
      <c r="AD13" t="s">
        <v>400</v>
      </c>
    </row>
    <row r="14" spans="2:30" ht="16.5">
      <c r="B14" s="200"/>
      <c r="C14" s="205"/>
      <c r="D14" s="202"/>
      <c r="E14" s="202"/>
      <c r="F14" s="207"/>
      <c r="G14" s="200"/>
      <c r="I14" s="88"/>
      <c r="J14" s="96"/>
      <c r="K14" s="93"/>
      <c r="L14" s="93"/>
      <c r="M14" s="97"/>
      <c r="N14" s="88"/>
      <c r="P14" s="377"/>
      <c r="Q14" s="386"/>
      <c r="R14" s="383"/>
      <c r="S14" s="383"/>
      <c r="T14" s="387"/>
      <c r="U14" s="377"/>
      <c r="W14" t="s">
        <v>220</v>
      </c>
      <c r="X14" s="74">
        <f>Y4</f>
        <v>1513.47</v>
      </c>
      <c r="Y14" s="74">
        <f>Y5</f>
        <v>166.26</v>
      </c>
      <c r="Z14" s="74">
        <f>Y9</f>
        <v>0</v>
      </c>
      <c r="AA14" s="74">
        <f>Y6</f>
        <v>143.34</v>
      </c>
      <c r="AB14" s="74">
        <f>Y7</f>
        <v>55.23</v>
      </c>
      <c r="AC14" s="74">
        <f>Y8</f>
        <v>0</v>
      </c>
      <c r="AD14" s="74">
        <f>Y10</f>
        <v>0</v>
      </c>
    </row>
    <row r="15" spans="2:30" ht="16.5">
      <c r="B15" s="200"/>
      <c r="C15" s="205"/>
      <c r="D15" s="202"/>
      <c r="E15" s="202"/>
      <c r="F15" s="207"/>
      <c r="G15" s="200"/>
      <c r="I15" s="88"/>
      <c r="J15" s="96"/>
      <c r="K15" s="93"/>
      <c r="L15" s="93"/>
      <c r="M15" s="97"/>
      <c r="N15" s="88"/>
      <c r="P15" s="377"/>
      <c r="Q15" s="386"/>
      <c r="R15" s="383"/>
      <c r="S15" s="383"/>
      <c r="T15" s="387"/>
      <c r="U15" s="377"/>
      <c r="W15" t="s">
        <v>3</v>
      </c>
      <c r="X15" s="74">
        <f>Z4</f>
        <v>286.73</v>
      </c>
      <c r="Y15" s="74">
        <f>Z5</f>
        <v>21.85</v>
      </c>
      <c r="Z15" s="74">
        <f>Z9</f>
        <v>0</v>
      </c>
      <c r="AA15" s="74">
        <f>Z6</f>
        <v>25.86</v>
      </c>
      <c r="AB15" s="74">
        <f>Z7</f>
        <v>5.97</v>
      </c>
      <c r="AC15" s="74">
        <f>Z8</f>
        <v>0</v>
      </c>
      <c r="AD15" s="74">
        <f>Z10</f>
        <v>0</v>
      </c>
    </row>
    <row r="16" spans="2:30" ht="16.5">
      <c r="B16" s="200"/>
      <c r="C16" s="205"/>
      <c r="D16" s="202"/>
      <c r="E16" s="202"/>
      <c r="F16" s="207"/>
      <c r="G16" s="200"/>
      <c r="I16" s="88"/>
      <c r="J16" s="96"/>
      <c r="K16" s="93"/>
      <c r="L16" s="93"/>
      <c r="M16" s="97"/>
      <c r="N16" s="88"/>
      <c r="P16" s="377"/>
      <c r="Q16" s="386"/>
      <c r="R16" s="383"/>
      <c r="S16" s="383"/>
      <c r="T16" s="387"/>
      <c r="U16" s="377"/>
      <c r="W16" t="s">
        <v>396</v>
      </c>
      <c r="X16" s="74">
        <f>AA4</f>
        <v>37.799999999999997</v>
      </c>
      <c r="Y16" s="74">
        <f>AA5</f>
        <v>1.89</v>
      </c>
      <c r="Z16" s="74">
        <f>RELACIÓN!AT46</f>
        <v>0</v>
      </c>
      <c r="AA16" s="74">
        <f>RELACIÓN!AQ46</f>
        <v>0</v>
      </c>
      <c r="AB16" s="74">
        <f>RELACIÓN!AR46</f>
        <v>0</v>
      </c>
      <c r="AC16" s="74">
        <f>RELACIÓN!AS46</f>
        <v>0</v>
      </c>
      <c r="AD16" s="74">
        <f>RELACIÓN!AU46</f>
        <v>0</v>
      </c>
    </row>
    <row r="17" spans="2:25" ht="17.25" thickBot="1">
      <c r="B17" s="200"/>
      <c r="C17" s="208"/>
      <c r="D17" s="209"/>
      <c r="E17" s="209"/>
      <c r="F17" s="210"/>
      <c r="G17" s="200"/>
      <c r="I17" s="88"/>
      <c r="J17" s="99"/>
      <c r="K17" s="100"/>
      <c r="L17" s="100"/>
      <c r="M17" s="101"/>
      <c r="N17" s="88"/>
      <c r="P17" s="377"/>
      <c r="Q17" s="389"/>
      <c r="R17" s="390"/>
      <c r="S17" s="390"/>
      <c r="T17" s="391"/>
      <c r="U17" s="377"/>
      <c r="X17" s="74"/>
      <c r="Y17">
        <f>X22</f>
        <v>0</v>
      </c>
    </row>
    <row r="18" spans="2:25" ht="17.25" thickTop="1">
      <c r="B18" s="200"/>
      <c r="C18" s="200"/>
      <c r="D18" s="200"/>
      <c r="E18" s="211" t="s">
        <v>146</v>
      </c>
      <c r="F18" s="212">
        <f>RELACIÓN!AD51</f>
        <v>1878.3</v>
      </c>
      <c r="G18" s="200"/>
      <c r="I18" s="88"/>
      <c r="J18" s="88"/>
      <c r="K18" s="88"/>
      <c r="L18" s="102" t="s">
        <v>146</v>
      </c>
      <c r="M18" s="185">
        <f>RELACIÓN!AF51</f>
        <v>340.41000000000008</v>
      </c>
      <c r="N18" s="88"/>
      <c r="P18" s="377"/>
      <c r="Q18" s="377"/>
      <c r="R18" s="377"/>
      <c r="S18" s="392" t="s">
        <v>146</v>
      </c>
      <c r="T18" s="393">
        <f>RELACIÓN!AH51</f>
        <v>39.69</v>
      </c>
      <c r="U18" s="377"/>
      <c r="X18" s="74"/>
    </row>
    <row r="19" spans="2:25" ht="16.5">
      <c r="B19" s="200"/>
      <c r="C19" s="200"/>
      <c r="D19" s="200"/>
      <c r="E19" s="213" t="s">
        <v>147</v>
      </c>
      <c r="F19" s="214">
        <f>RELACIÓN!AD52</f>
        <v>1878.3</v>
      </c>
      <c r="G19" s="200"/>
      <c r="I19" s="88"/>
      <c r="J19" s="88"/>
      <c r="K19" s="88"/>
      <c r="L19" s="103" t="s">
        <v>147</v>
      </c>
      <c r="M19" s="104">
        <f>RELACIÓN!AF52</f>
        <v>340.41000000000008</v>
      </c>
      <c r="N19" s="88"/>
      <c r="P19" s="377"/>
      <c r="Q19" s="377"/>
      <c r="R19" s="377"/>
      <c r="S19" s="394" t="s">
        <v>147</v>
      </c>
      <c r="T19" s="395">
        <f>RELACIÓN!AH52</f>
        <v>39.69</v>
      </c>
      <c r="U19" s="377"/>
      <c r="W19" t="s">
        <v>220</v>
      </c>
      <c r="X19" s="74">
        <f>F18</f>
        <v>1878.3</v>
      </c>
    </row>
    <row r="20" spans="2:25" ht="16.5">
      <c r="B20" s="200"/>
      <c r="C20" s="200"/>
      <c r="D20" s="200"/>
      <c r="E20" s="215" t="s">
        <v>148</v>
      </c>
      <c r="F20" s="214"/>
      <c r="G20" s="200"/>
      <c r="I20" s="88"/>
      <c r="J20" s="88"/>
      <c r="K20" s="88"/>
      <c r="L20" s="105" t="s">
        <v>148</v>
      </c>
      <c r="M20" s="104"/>
      <c r="N20" s="88"/>
      <c r="P20" s="377"/>
      <c r="Q20" s="377"/>
      <c r="R20" s="377"/>
      <c r="S20" s="396" t="s">
        <v>148</v>
      </c>
      <c r="T20" s="395"/>
      <c r="U20" s="377"/>
      <c r="W20" t="s">
        <v>3</v>
      </c>
      <c r="X20" s="74">
        <f>M18</f>
        <v>340.41000000000008</v>
      </c>
    </row>
    <row r="21" spans="2:25" ht="16.5">
      <c r="B21" s="200"/>
      <c r="C21" s="200"/>
      <c r="D21" s="200"/>
      <c r="E21" s="213" t="s">
        <v>149</v>
      </c>
      <c r="F21" s="214">
        <f>RELACIÓN!AD53</f>
        <v>0</v>
      </c>
      <c r="G21" s="200"/>
      <c r="I21" s="88"/>
      <c r="J21" s="88"/>
      <c r="K21" s="88"/>
      <c r="L21" s="103" t="s">
        <v>149</v>
      </c>
      <c r="M21" s="104">
        <f>RELACIÓN!AF53</f>
        <v>0</v>
      </c>
      <c r="N21" s="88"/>
      <c r="P21" s="377"/>
      <c r="Q21" s="377"/>
      <c r="R21" s="377"/>
      <c r="S21" s="394" t="s">
        <v>149</v>
      </c>
      <c r="T21" s="395">
        <f>RELACIÓN!AH53</f>
        <v>0</v>
      </c>
      <c r="U21" s="377"/>
      <c r="W21" t="s">
        <v>396</v>
      </c>
      <c r="X21" s="74">
        <f>T18</f>
        <v>39.69</v>
      </c>
    </row>
    <row r="22" spans="2:25" ht="16.5">
      <c r="B22" s="200"/>
      <c r="C22" s="200"/>
      <c r="D22" s="200"/>
      <c r="E22" s="215" t="s">
        <v>150</v>
      </c>
      <c r="F22" s="214">
        <f>RELACIÓN!AD54</f>
        <v>0</v>
      </c>
      <c r="G22" s="200"/>
      <c r="I22" s="88"/>
      <c r="J22" s="88"/>
      <c r="K22" s="88"/>
      <c r="L22" s="105" t="s">
        <v>150</v>
      </c>
      <c r="M22" s="104">
        <f>RELACIÓN!AF54</f>
        <v>0</v>
      </c>
      <c r="N22" s="88"/>
      <c r="P22" s="377"/>
      <c r="Q22" s="377"/>
      <c r="R22" s="377"/>
      <c r="S22" s="396" t="s">
        <v>150</v>
      </c>
      <c r="T22" s="395">
        <f>RELACIÓN!AH54</f>
        <v>0</v>
      </c>
      <c r="U22" s="377"/>
      <c r="X22" s="74">
        <f>'CALETAS EXT'!J6</f>
        <v>0</v>
      </c>
    </row>
    <row r="23" spans="2:25" ht="17.25" thickBot="1">
      <c r="B23" s="200"/>
      <c r="C23" s="200"/>
      <c r="D23" s="200"/>
      <c r="E23" s="216" t="s">
        <v>151</v>
      </c>
      <c r="F23" s="217">
        <f>RELACIÓN!AD55</f>
        <v>1878.3</v>
      </c>
      <c r="G23" s="200"/>
      <c r="I23" s="88"/>
      <c r="J23" s="88"/>
      <c r="K23" s="88"/>
      <c r="L23" s="106" t="s">
        <v>151</v>
      </c>
      <c r="M23" s="107">
        <f>RELACIÓN!AF55</f>
        <v>340.41</v>
      </c>
      <c r="N23" s="88"/>
      <c r="P23" s="377"/>
      <c r="Q23" s="377"/>
      <c r="R23" s="377"/>
      <c r="S23" s="397" t="s">
        <v>151</v>
      </c>
      <c r="T23" s="398">
        <f>RELACIÓN!AH55</f>
        <v>39.69</v>
      </c>
      <c r="U23" s="377"/>
    </row>
    <row r="24" spans="2:25">
      <c r="B24" s="200"/>
      <c r="C24" s="200"/>
      <c r="D24" s="200"/>
      <c r="E24" s="200"/>
      <c r="F24" s="200"/>
      <c r="G24" s="200"/>
      <c r="I24" s="88"/>
      <c r="J24" s="88"/>
      <c r="K24" s="88"/>
      <c r="L24" s="88"/>
      <c r="M24" s="88"/>
      <c r="N24" s="88"/>
      <c r="P24" s="377"/>
      <c r="Q24" s="377"/>
      <c r="R24" s="377"/>
      <c r="S24" s="377"/>
      <c r="T24" s="377"/>
      <c r="U24" s="377"/>
    </row>
    <row r="25" spans="2:25">
      <c r="J25" s="469"/>
      <c r="K25" s="469"/>
    </row>
    <row r="32" spans="2:25">
      <c r="B32">
        <f>RELACIÓN!A50</f>
        <v>0</v>
      </c>
    </row>
  </sheetData>
  <mergeCells count="7">
    <mergeCell ref="Q3:R3"/>
    <mergeCell ref="T3:U3"/>
    <mergeCell ref="C3:D3"/>
    <mergeCell ref="J3:K3"/>
    <mergeCell ref="J25:K25"/>
    <mergeCell ref="M3:N3"/>
    <mergeCell ref="F3:G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pageSetUpPr fitToPage="1"/>
  </sheetPr>
  <dimension ref="A1:AM46"/>
  <sheetViews>
    <sheetView zoomScale="80" zoomScaleNormal="80" workbookViewId="0">
      <selection activeCell="R45" sqref="R45"/>
    </sheetView>
  </sheetViews>
  <sheetFormatPr baseColWidth="10" defaultRowHeight="12.75"/>
  <cols>
    <col min="1" max="1" width="7.28515625" customWidth="1"/>
    <col min="2" max="2" width="9.28515625" customWidth="1"/>
    <col min="3" max="3" width="23.42578125" customWidth="1"/>
    <col min="4" max="4" width="13.28515625" customWidth="1"/>
    <col min="5" max="5" width="8.140625" customWidth="1"/>
    <col min="6" max="6" width="8.5703125" customWidth="1"/>
    <col min="7" max="7" width="6.7109375" customWidth="1"/>
    <col min="8" max="8" width="6.5703125" customWidth="1"/>
    <col min="9" max="9" width="9.42578125" customWidth="1"/>
    <col min="10" max="10" width="9.85546875" customWidth="1"/>
    <col min="14" max="14" width="10.140625" customWidth="1"/>
    <col min="15" max="15" width="9.5703125" customWidth="1"/>
    <col min="16" max="17" width="11.5703125" customWidth="1"/>
    <col min="18" max="19" width="10.140625" customWidth="1"/>
    <col min="20" max="20" width="9.42578125" customWidth="1"/>
    <col min="21" max="21" width="10" customWidth="1"/>
    <col min="22" max="22" width="9.140625" customWidth="1"/>
    <col min="23" max="23" width="10" customWidth="1"/>
    <col min="24" max="24" width="11.42578125" customWidth="1"/>
    <col min="25" max="26" width="9.42578125" customWidth="1"/>
    <col min="27" max="27" width="8.7109375" customWidth="1"/>
    <col min="28" max="28" width="7.7109375" customWidth="1"/>
    <col min="29" max="29" width="7.140625" customWidth="1"/>
    <col min="30" max="30" width="8.140625" customWidth="1"/>
  </cols>
  <sheetData>
    <row r="1" spans="1:37" ht="12.75" customHeight="1">
      <c r="A1" s="7" t="str">
        <f>RELACIÓN!A1</f>
        <v>DESDE</v>
      </c>
      <c r="B1" s="453">
        <f>RELACIÓN!B1</f>
        <v>45628</v>
      </c>
      <c r="C1" s="453">
        <f>RELACIÓN!D1</f>
        <v>0</v>
      </c>
      <c r="D1" s="453">
        <f>RELACIÓN!E1</f>
        <v>0</v>
      </c>
      <c r="E1" s="453">
        <f>RELACIÓN!G1</f>
        <v>0</v>
      </c>
      <c r="F1" s="453">
        <f>RELACIÓN!H1</f>
        <v>0</v>
      </c>
      <c r="G1" s="451" t="str">
        <f>RELACIÓN!I1</f>
        <v>TRANSPORTE ELIAGNYS PAEZ</v>
      </c>
      <c r="H1" s="451">
        <f>RELACIÓN!J1</f>
        <v>0</v>
      </c>
      <c r="I1" s="451">
        <f>RELACIÓN!L1</f>
        <v>0</v>
      </c>
      <c r="J1" s="451">
        <f>RELACIÓN!M1</f>
        <v>0</v>
      </c>
      <c r="K1" s="451"/>
      <c r="L1" s="451"/>
      <c r="M1" s="451"/>
      <c r="N1" s="451"/>
      <c r="O1" s="9"/>
      <c r="P1" s="13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</row>
    <row r="2" spans="1:37" ht="12.75" customHeight="1">
      <c r="A2" s="7" t="str">
        <f>RELACIÓN!A2</f>
        <v>HASTA</v>
      </c>
      <c r="B2" s="453">
        <f>RELACIÓN!B2</f>
        <v>45632</v>
      </c>
      <c r="C2" s="453">
        <f>RELACIÓN!D2</f>
        <v>0</v>
      </c>
      <c r="D2" s="453">
        <f>RELACIÓN!E2</f>
        <v>0</v>
      </c>
      <c r="E2" s="453">
        <f>RELACIÓN!G2</f>
        <v>0</v>
      </c>
      <c r="F2" s="453">
        <f>RELACIÓN!H2</f>
        <v>0</v>
      </c>
      <c r="G2" s="452">
        <f>RELACIÓN!I2</f>
        <v>0</v>
      </c>
      <c r="H2" s="452">
        <f>RELACIÓN!J2</f>
        <v>0</v>
      </c>
      <c r="I2" s="452">
        <f>RELACIÓN!L2</f>
        <v>0</v>
      </c>
      <c r="J2" s="452">
        <f>RELACIÓN!M2</f>
        <v>0</v>
      </c>
      <c r="K2" s="452"/>
      <c r="L2" s="452"/>
      <c r="M2" s="452"/>
      <c r="N2" s="452"/>
      <c r="O2" s="449" t="s">
        <v>256</v>
      </c>
      <c r="P2" s="449"/>
      <c r="Q2" s="449"/>
      <c r="R2" s="449"/>
      <c r="S2" s="449"/>
      <c r="T2" s="449"/>
      <c r="U2" s="449"/>
      <c r="V2" s="450" t="s">
        <v>132</v>
      </c>
      <c r="W2" s="450"/>
      <c r="X2" s="450"/>
      <c r="Y2" s="450"/>
      <c r="Z2" s="450"/>
      <c r="AA2" s="450"/>
      <c r="AB2" s="450"/>
      <c r="AC2" s="470" t="s">
        <v>396</v>
      </c>
      <c r="AD2" s="470"/>
      <c r="AE2" s="470"/>
      <c r="AF2" s="470"/>
      <c r="AG2" s="470"/>
      <c r="AH2" s="470"/>
      <c r="AI2" s="470"/>
    </row>
    <row r="3" spans="1:37" ht="15.75" customHeight="1">
      <c r="A3" s="116" t="str">
        <f>RELACIÓN!A3</f>
        <v>N° Guia</v>
      </c>
      <c r="B3" s="117" t="str">
        <f>RELACIÓN!B3</f>
        <v>N° Guia2</v>
      </c>
      <c r="C3" s="118" t="str">
        <f>RELACIÓN!D3</f>
        <v>Cliente</v>
      </c>
      <c r="D3" s="119" t="str">
        <f>RELACIÓN!E3</f>
        <v>Destino</v>
      </c>
      <c r="E3" s="120" t="str">
        <f>RELACIÓN!G3</f>
        <v>Fecha Solicitud</v>
      </c>
      <c r="F3" s="121" t="str">
        <f>RELACIÓN!H3</f>
        <v>Pasta (Kgs.)</v>
      </c>
      <c r="G3" s="122" t="str">
        <f>RELACIÓN!I3</f>
        <v>Confites (Cjs.)</v>
      </c>
      <c r="H3" s="122" t="str">
        <f>RELACIÓN!J3</f>
        <v>Confites (Kgs.)</v>
      </c>
      <c r="I3" s="121" t="str">
        <f>RELACIÓN!L3</f>
        <v>Total Kgs.</v>
      </c>
      <c r="J3" s="122" t="str">
        <f>RELACIÓN!M3</f>
        <v>KGS PASTA</v>
      </c>
      <c r="K3" s="117" t="str">
        <f>RELACIÓN!O3</f>
        <v>KG CARGA</v>
      </c>
      <c r="L3" s="117" t="str">
        <f>RELACIÓN!P3</f>
        <v>Cap.</v>
      </c>
      <c r="M3" s="117" t="str">
        <f>RELACIÓN!R3</f>
        <v>Choferes</v>
      </c>
      <c r="N3" s="123" t="str">
        <f>RELACIÓN!S3</f>
        <v>BASE DE FLETE</v>
      </c>
      <c r="O3" s="125" t="str">
        <f>RELACIÓN!AA3</f>
        <v>Flete</v>
      </c>
      <c r="P3" s="125" t="str">
        <f>RELACIÓN!AB3</f>
        <v>Flete sec.</v>
      </c>
      <c r="Q3" s="125" t="str">
        <f>RELACIÓN!AC3</f>
        <v>Reparto</v>
      </c>
      <c r="R3" s="125" t="str">
        <f>RELACIÓN!AD3</f>
        <v>Desvío</v>
      </c>
      <c r="S3" s="125" t="str">
        <f>RELACIÓN!AE3</f>
        <v>Peaje3</v>
      </c>
      <c r="T3" s="125" t="str">
        <f>RELACIÓN!AF3</f>
        <v>Mora</v>
      </c>
      <c r="U3" s="125" t="str">
        <f>RELACIÓN!AG3</f>
        <v>Fin semana</v>
      </c>
      <c r="V3" s="125" t="str">
        <f>RELACIÓN!AH3</f>
        <v>Flete4</v>
      </c>
      <c r="W3" s="125" t="str">
        <f>RELACIÓN!AI3</f>
        <v>Flete sec. N</v>
      </c>
      <c r="X3" s="125" t="str">
        <f>RELACIÓN!AJ3</f>
        <v>Reparto6</v>
      </c>
      <c r="Y3" s="125" t="str">
        <f>RELACIÓN!AK3</f>
        <v>Desvío7</v>
      </c>
      <c r="Z3" s="125" t="str">
        <f>RELACIÓN!AL3</f>
        <v>Peaje8</v>
      </c>
      <c r="AA3" s="125" t="str">
        <f>RELACIÓN!AM3</f>
        <v>Mora9</v>
      </c>
      <c r="AB3" s="307" t="str">
        <f>RELACIÓN!AN3</f>
        <v>Fin semana10</v>
      </c>
      <c r="AC3" s="125" t="str">
        <f>RELACIÓN!AO3</f>
        <v>Flete Mol</v>
      </c>
      <c r="AD3" s="125" t="str">
        <f>RELACIÓN!AP3</f>
        <v>Flete sec Mol</v>
      </c>
      <c r="AE3" s="125" t="str">
        <f>RELACIÓN!AQ3</f>
        <v>Reparto Mol</v>
      </c>
      <c r="AF3" s="125" t="str">
        <f>RELACIÓN!AR3</f>
        <v>Desv. Mol</v>
      </c>
      <c r="AG3" s="125" t="str">
        <f>RELACIÓN!AS3</f>
        <v>Peaje Mol</v>
      </c>
      <c r="AH3" s="125" t="str">
        <f>RELACIÓN!AT3</f>
        <v>Mora Mol</v>
      </c>
      <c r="AI3" s="307" t="str">
        <f>RELACIÓN!AU3</f>
        <v>Fin S. Mol</v>
      </c>
      <c r="AJ3" s="307" t="str">
        <f>RELACIÓN!AV3</f>
        <v>$/KG</v>
      </c>
      <c r="AK3" s="307" t="str">
        <f>RELACIÓN!AW3</f>
        <v>Tasa</v>
      </c>
    </row>
    <row r="4" spans="1:37" ht="12" customHeight="1">
      <c r="A4" s="296">
        <f>IF(RELACIÓN!A4&lt;&gt;"",RELACIÓN!A4,"")</f>
        <v>51022</v>
      </c>
      <c r="B4" s="296">
        <f>IF(RELACIÓN!B4&lt;&gt;"",RELACIÓN!B4,"")</f>
        <v>51023</v>
      </c>
      <c r="C4" s="308" t="str">
        <f>IF(RELACIÓN!D4&lt;&gt;"",RELACIÓN!D4,"")</f>
        <v>CATANIA HIPERMERCADO (LA BELISA)</v>
      </c>
      <c r="D4" s="308" t="str">
        <f>IF(RELACIÓN!E4&lt;&gt;"",RELACIÓN!E4,"")</f>
        <v>PTO CABELLO</v>
      </c>
      <c r="E4" s="297">
        <f>IF(RELACIÓN!G4&lt;&gt;"",RELACIÓN!G4,"")</f>
        <v>45629</v>
      </c>
      <c r="F4" s="298">
        <f>RELACIÓN!H4</f>
        <v>10830</v>
      </c>
      <c r="G4" s="299">
        <f>RELACIÓN!I4</f>
        <v>327</v>
      </c>
      <c r="H4" s="299">
        <f>RELACIÓN!J4</f>
        <v>792.97199999999998</v>
      </c>
      <c r="I4" s="298">
        <f>RELACIÓN!L4</f>
        <v>11622.972</v>
      </c>
      <c r="J4" s="300">
        <f>RELACIÓN!M4</f>
        <v>10830</v>
      </c>
      <c r="K4" s="301">
        <f>RELACIÓN!O4</f>
        <v>11711.843999999999</v>
      </c>
      <c r="L4" s="301">
        <f>RELACIÓN!P4</f>
        <v>12000</v>
      </c>
      <c r="M4" s="302" t="str">
        <f>RELACIÓN!R4</f>
        <v>JOSE MERIDA</v>
      </c>
      <c r="N4" s="303">
        <f>RELACIÓN!S4</f>
        <v>306</v>
      </c>
      <c r="O4" s="304">
        <f>RELACIÓN!AA4</f>
        <v>276.16499999999996</v>
      </c>
      <c r="P4" s="305">
        <f>RELACIÓN!AB4</f>
        <v>27.741148191523045</v>
      </c>
      <c r="Q4" s="306">
        <f>RELACIÓN!AC4</f>
        <v>55.232999999999997</v>
      </c>
      <c r="R4" s="304">
        <f>RELACIÓN!AD4</f>
        <v>55.232999999999997</v>
      </c>
      <c r="S4" s="304" t="str">
        <f>RELACIÓN!AE4</f>
        <v/>
      </c>
      <c r="T4" s="304" t="str">
        <f>RELACIÓN!AF4</f>
        <v/>
      </c>
      <c r="U4" s="306" t="str">
        <f>RELACIÓN!AG4</f>
        <v/>
      </c>
      <c r="V4" s="304">
        <f>RELACIÓN!AH4</f>
        <v>29.835000000000036</v>
      </c>
      <c r="W4" s="304">
        <f>RELACIÓN!AI4</f>
        <v>2.2588518084769547</v>
      </c>
      <c r="X4" s="304">
        <f>RELACIÓN!AJ4</f>
        <v>5.9670000000000059</v>
      </c>
      <c r="Y4" s="304">
        <f>RELACIÓN!AK4</f>
        <v>5.9670000000000059</v>
      </c>
      <c r="Z4" s="304" t="str">
        <f>RELACIÓN!AL4</f>
        <v/>
      </c>
      <c r="AA4" s="304" t="str">
        <f>RELACIÓN!AM4</f>
        <v/>
      </c>
      <c r="AB4" s="304" t="str">
        <f>RELACIÓN!AN4</f>
        <v/>
      </c>
      <c r="AC4" s="304">
        <f>RELACIÓN!AO4</f>
        <v>0</v>
      </c>
      <c r="AD4" s="304">
        <f>RELACIÓN!AP4</f>
        <v>0</v>
      </c>
      <c r="AE4" s="304">
        <f>RELACIÓN!AQ4</f>
        <v>0</v>
      </c>
      <c r="AF4" s="304">
        <f>RELACIÓN!AR4</f>
        <v>0</v>
      </c>
      <c r="AG4" s="304" t="str">
        <f>RELACIÓN!AS4</f>
        <v/>
      </c>
      <c r="AH4" s="304" t="str">
        <f>RELACIÓN!AT4</f>
        <v/>
      </c>
      <c r="AI4" s="304" t="str">
        <f>RELACIÓN!AU4</f>
        <v/>
      </c>
      <c r="AJ4" s="304">
        <f>RELACIÓN!AV4</f>
        <v>3.9139865592472033E-2</v>
      </c>
      <c r="AK4" s="304">
        <f>RELACIÓN!AW4</f>
        <v>1</v>
      </c>
    </row>
    <row r="5" spans="1:37" ht="12" customHeight="1">
      <c r="A5" s="296" t="str">
        <f>IF(RELACIÓN!A5&lt;&gt;"",RELACIÓN!A5,"")</f>
        <v/>
      </c>
      <c r="B5" s="296" t="str">
        <f>IF(RELACIÓN!B5&lt;&gt;"",RELACIÓN!B5,"")</f>
        <v/>
      </c>
      <c r="C5" s="308" t="str">
        <f>IF(RELACIÓN!D5&lt;&gt;"",RELACIÓN!D5,"")</f>
        <v>CATANIA HIPERMERCADO (SUCURSAL CIUDAD ALIANZA)</v>
      </c>
      <c r="D5" s="308" t="str">
        <f>IF(RELACIÓN!E5&lt;&gt;"",RELACIÓN!E5,"")</f>
        <v>GUACARA</v>
      </c>
      <c r="E5" s="297">
        <f>IF(RELACIÓN!G5&lt;&gt;"",RELACIÓN!G5,"")</f>
        <v>45629</v>
      </c>
      <c r="F5" s="298">
        <f>RELACIÓN!H5</f>
        <v>0</v>
      </c>
      <c r="G5" s="299">
        <f>RELACIÓN!I5</f>
        <v>34</v>
      </c>
      <c r="H5" s="299">
        <f>RELACIÓN!J5</f>
        <v>88.872</v>
      </c>
      <c r="I5" s="298">
        <f>RELACIÓN!L5</f>
        <v>88.872</v>
      </c>
      <c r="J5" s="300">
        <f>RELACIÓN!M5</f>
        <v>0</v>
      </c>
      <c r="K5" s="301">
        <f>RELACIÓN!O5</f>
        <v>0</v>
      </c>
      <c r="L5" s="301">
        <f>RELACIÓN!P5</f>
        <v>0</v>
      </c>
      <c r="M5" s="302">
        <f>RELACIÓN!R5</f>
        <v>0</v>
      </c>
      <c r="N5" s="303" t="str">
        <f>RELACIÓN!S5</f>
        <v/>
      </c>
      <c r="O5" s="304" t="str">
        <f>RELACIÓN!AA5</f>
        <v/>
      </c>
      <c r="P5" s="305" t="str">
        <f>RELACIÓN!AB5</f>
        <v/>
      </c>
      <c r="Q5" s="306" t="str">
        <f>RELACIÓN!AC5</f>
        <v/>
      </c>
      <c r="R5" s="304" t="str">
        <f>RELACIÓN!AD5</f>
        <v/>
      </c>
      <c r="S5" s="304" t="str">
        <f>RELACIÓN!AE5</f>
        <v/>
      </c>
      <c r="T5" s="304" t="str">
        <f>RELACIÓN!AF5</f>
        <v/>
      </c>
      <c r="U5" s="306" t="str">
        <f>RELACIÓN!AG5</f>
        <v/>
      </c>
      <c r="V5" s="304" t="str">
        <f>RELACIÓN!AH5</f>
        <v/>
      </c>
      <c r="W5" s="304" t="str">
        <f>RELACIÓN!AI5</f>
        <v/>
      </c>
      <c r="X5" s="304" t="str">
        <f>RELACIÓN!AJ5</f>
        <v/>
      </c>
      <c r="Y5" s="304" t="str">
        <f>RELACIÓN!AK5</f>
        <v/>
      </c>
      <c r="Z5" s="304" t="str">
        <f>RELACIÓN!AL5</f>
        <v/>
      </c>
      <c r="AA5" s="304" t="str">
        <f>RELACIÓN!AM5</f>
        <v/>
      </c>
      <c r="AB5" s="304" t="str">
        <f>RELACIÓN!AN5</f>
        <v/>
      </c>
      <c r="AC5" s="304" t="str">
        <f>RELACIÓN!AO5</f>
        <v/>
      </c>
      <c r="AD5" s="304" t="str">
        <f>RELACIÓN!AP5</f>
        <v/>
      </c>
      <c r="AE5" s="304" t="str">
        <f>RELACIÓN!AQ5</f>
        <v/>
      </c>
      <c r="AF5" s="304" t="str">
        <f>RELACIÓN!AR5</f>
        <v/>
      </c>
      <c r="AG5" s="304" t="str">
        <f>RELACIÓN!AS5</f>
        <v/>
      </c>
      <c r="AH5" s="304" t="str">
        <f>RELACIÓN!AT5</f>
        <v/>
      </c>
      <c r="AI5" s="304" t="str">
        <f>RELACIÓN!AU5</f>
        <v/>
      </c>
      <c r="AJ5" s="304" t="str">
        <f>RELACIÓN!AV5</f>
        <v/>
      </c>
      <c r="AK5" s="304" t="str">
        <f>RELACIÓN!AW5</f>
        <v/>
      </c>
    </row>
    <row r="6" spans="1:37" ht="12" customHeight="1">
      <c r="A6" s="296">
        <f>IF(RELACIÓN!A6&lt;&gt;"",RELACIÓN!A6,"")</f>
        <v>51033</v>
      </c>
      <c r="B6" s="296">
        <f>IF(RELACIÓN!B6&lt;&gt;"",RELACIÓN!B6,"")</f>
        <v>51034</v>
      </c>
      <c r="C6" s="308" t="str">
        <f>IF(RELACIÓN!D6&lt;&gt;"",RELACIÓN!D6,"")</f>
        <v>HIPERCANDY DEL CENTRO C.A.</v>
      </c>
      <c r="D6" s="308" t="str">
        <f>IF(RELACIÓN!E6&lt;&gt;"",RELACIÓN!E6,"")</f>
        <v>MARACAY</v>
      </c>
      <c r="E6" s="297">
        <f>IF(RELACIÓN!G6&lt;&gt;"",RELACIÓN!G6,"")</f>
        <v>45629</v>
      </c>
      <c r="F6" s="298">
        <f>RELACIÓN!H6</f>
        <v>1770</v>
      </c>
      <c r="G6" s="299">
        <f>RELACIÓN!I6</f>
        <v>217</v>
      </c>
      <c r="H6" s="299">
        <f>RELACIÓN!J6</f>
        <v>492.72000000000014</v>
      </c>
      <c r="I6" s="298">
        <f>RELACIÓN!L6</f>
        <v>2262.7200000000003</v>
      </c>
      <c r="J6" s="300">
        <f>RELACIÓN!M6</f>
        <v>1770</v>
      </c>
      <c r="K6" s="301">
        <f>RELACIÓN!O6</f>
        <v>2262.7200000000003</v>
      </c>
      <c r="L6" s="301">
        <f>RELACIÓN!P6</f>
        <v>2500</v>
      </c>
      <c r="M6" s="302" t="str">
        <f>RELACIÓN!R6</f>
        <v>TULIO PAEZ</v>
      </c>
      <c r="N6" s="303">
        <f>RELACIÓN!S6</f>
        <v>84</v>
      </c>
      <c r="O6" s="304">
        <f>RELACIÓN!AA6</f>
        <v>59.471999999999994</v>
      </c>
      <c r="P6" s="305">
        <f>RELACIÓN!AB6</f>
        <v>15.64488756894357</v>
      </c>
      <c r="Q6" s="306" t="str">
        <f>RELACIÓN!AC6</f>
        <v/>
      </c>
      <c r="R6" s="304" t="str">
        <f>RELACIÓN!AD6</f>
        <v/>
      </c>
      <c r="S6" s="304" t="str">
        <f>RELACIÓN!AE6</f>
        <v/>
      </c>
      <c r="T6" s="304" t="str">
        <f>RELACIÓN!AF6</f>
        <v/>
      </c>
      <c r="U6" s="306" t="str">
        <f>RELACIÓN!AG6</f>
        <v/>
      </c>
      <c r="V6" s="304">
        <f>RELACIÓN!AH6</f>
        <v>24.528000000000006</v>
      </c>
      <c r="W6" s="304">
        <f>RELACIÓN!AI6</f>
        <v>4.3551124310564298</v>
      </c>
      <c r="X6" s="304" t="str">
        <f>RELACIÓN!AJ6</f>
        <v/>
      </c>
      <c r="Y6" s="304" t="str">
        <f>RELACIÓN!AK6</f>
        <v/>
      </c>
      <c r="Z6" s="304" t="str">
        <f>RELACIÓN!AL6</f>
        <v/>
      </c>
      <c r="AA6" s="304" t="str">
        <f>RELACIÓN!AM6</f>
        <v/>
      </c>
      <c r="AB6" s="304" t="str">
        <f>RELACIÓN!AN6</f>
        <v/>
      </c>
      <c r="AC6" s="304">
        <f>RELACIÓN!AO6</f>
        <v>0</v>
      </c>
      <c r="AD6" s="304">
        <f>RELACIÓN!AP6</f>
        <v>0</v>
      </c>
      <c r="AE6" s="304" t="str">
        <f>RELACIÓN!AQ6</f>
        <v/>
      </c>
      <c r="AF6" s="304" t="str">
        <f>RELACIÓN!AR6</f>
        <v/>
      </c>
      <c r="AG6" s="304" t="str">
        <f>RELACIÓN!AS6</f>
        <v/>
      </c>
      <c r="AH6" s="304" t="str">
        <f>RELACIÓN!AT6</f>
        <v/>
      </c>
      <c r="AI6" s="304" t="str">
        <f>RELACIÓN!AU6</f>
        <v/>
      </c>
      <c r="AJ6" s="304">
        <f>RELACIÓN!AV6</f>
        <v>4.5962381558478288E-2</v>
      </c>
      <c r="AK6" s="304">
        <f>RELACIÓN!AW6</f>
        <v>1</v>
      </c>
    </row>
    <row r="7" spans="1:37" ht="12" customHeight="1">
      <c r="A7" s="296">
        <f>IF(RELACIÓN!A7&lt;&gt;"",RELACIÓN!A7,"")</f>
        <v>51048</v>
      </c>
      <c r="B7" s="296">
        <f>IF(RELACIÓN!B7&lt;&gt;"",RELACIÓN!B7,"")</f>
        <v>51049</v>
      </c>
      <c r="C7" s="308" t="str">
        <f>IF(RELACIÓN!D7&lt;&gt;"",RELACIÓN!D7,"")</f>
        <v>INVERSION CENTRAL 2012, C.A</v>
      </c>
      <c r="D7" s="308" t="str">
        <f>IF(RELACIÓN!E7&lt;&gt;"",RELACIÓN!E7,"")</f>
        <v>MARIARA</v>
      </c>
      <c r="E7" s="297">
        <f>IF(RELACIÓN!G7&lt;&gt;"",RELACIÓN!G7,"")</f>
        <v>45630</v>
      </c>
      <c r="F7" s="298">
        <f>RELACIÓN!H7</f>
        <v>969</v>
      </c>
      <c r="G7" s="299">
        <f>RELACIÓN!I7</f>
        <v>4</v>
      </c>
      <c r="H7" s="299">
        <f>RELACIÓN!J7</f>
        <v>8.8800000000000008</v>
      </c>
      <c r="I7" s="298">
        <f>RELACIÓN!L7</f>
        <v>977.88</v>
      </c>
      <c r="J7" s="300">
        <f>RELACIÓN!M7</f>
        <v>1722</v>
      </c>
      <c r="K7" s="301">
        <f>RELACIÓN!O7</f>
        <v>1734.96</v>
      </c>
      <c r="L7" s="301">
        <f>RELACIÓN!P7</f>
        <v>2500</v>
      </c>
      <c r="M7" s="302" t="str">
        <f>RELACIÓN!R7</f>
        <v>TULIO PAEZ</v>
      </c>
      <c r="N7" s="303">
        <f>RELACIÓN!S7</f>
        <v>100</v>
      </c>
      <c r="O7" s="304">
        <f>RELACIÓN!AA7</f>
        <v>68.88</v>
      </c>
      <c r="P7" s="305">
        <f>RELACIÓN!AB7</f>
        <v>19.850601742979666</v>
      </c>
      <c r="Q7" s="306">
        <f>RELACIÓN!AC7</f>
        <v>5.9551805228938992</v>
      </c>
      <c r="R7" s="304" t="str">
        <f>RELACIÓN!AD7</f>
        <v/>
      </c>
      <c r="S7" s="304" t="str">
        <f>RELACIÓN!AE7</f>
        <v/>
      </c>
      <c r="T7" s="304" t="str">
        <f>RELACIÓN!AF7</f>
        <v/>
      </c>
      <c r="U7" s="306" t="str">
        <f>RELACIÓN!AG7</f>
        <v/>
      </c>
      <c r="V7" s="304">
        <f>RELACIÓN!AH7</f>
        <v>31.120000000000005</v>
      </c>
      <c r="W7" s="304">
        <f>RELACIÓN!AI7</f>
        <v>0.1493982570203336</v>
      </c>
      <c r="X7" s="304">
        <f>RELACIÓN!AJ7</f>
        <v>4.4819477106100791E-2</v>
      </c>
      <c r="Y7" s="304" t="str">
        <f>RELACIÓN!AK7</f>
        <v/>
      </c>
      <c r="Z7" s="304" t="str">
        <f>RELACIÓN!AL7</f>
        <v/>
      </c>
      <c r="AA7" s="304" t="str">
        <f>RELACIÓN!AM7</f>
        <v/>
      </c>
      <c r="AB7" s="304" t="str">
        <f>RELACIÓN!AN7</f>
        <v/>
      </c>
      <c r="AC7" s="304">
        <f>RELACIÓN!AO7</f>
        <v>0</v>
      </c>
      <c r="AD7" s="304">
        <f>RELACIÓN!AP7</f>
        <v>0</v>
      </c>
      <c r="AE7" s="304">
        <f>RELACIÓN!AQ7</f>
        <v>0</v>
      </c>
      <c r="AF7" s="304" t="str">
        <f>RELACIÓN!AR7</f>
        <v/>
      </c>
      <c r="AG7" s="304" t="str">
        <f>RELACIÓN!AS7</f>
        <v/>
      </c>
      <c r="AH7" s="304" t="str">
        <f>RELACIÓN!AT7</f>
        <v/>
      </c>
      <c r="AI7" s="304" t="str">
        <f>RELACIÓN!AU7</f>
        <v/>
      </c>
      <c r="AJ7" s="304">
        <f>RELACIÓN!AV7</f>
        <v>7.2624152718218288E-2</v>
      </c>
      <c r="AK7" s="304">
        <f>RELACIÓN!AW7</f>
        <v>1</v>
      </c>
    </row>
    <row r="8" spans="1:37" ht="12" customHeight="1">
      <c r="A8" s="296" t="str">
        <f>IF(RELACIÓN!A8&lt;&gt;"",RELACIÓN!A8,"")</f>
        <v/>
      </c>
      <c r="B8" s="296" t="str">
        <f>IF(RELACIÓN!B8&lt;&gt;"",RELACIÓN!B8,"")</f>
        <v/>
      </c>
      <c r="C8" s="308" t="str">
        <f>IF(RELACIÓN!D8&lt;&gt;"",RELACIÓN!D8,"")</f>
        <v>ZHIANG CHEN WU</v>
      </c>
      <c r="D8" s="308" t="str">
        <f>IF(RELACIÓN!E8&lt;&gt;"",RELACIÓN!E8,"")</f>
        <v>MARIARA</v>
      </c>
      <c r="E8" s="297">
        <f>IF(RELACIÓN!G8&lt;&gt;"",RELACIÓN!G8,"")</f>
        <v>45630</v>
      </c>
      <c r="F8" s="298">
        <f>RELACIÓN!H8</f>
        <v>753</v>
      </c>
      <c r="G8" s="299">
        <f>RELACIÓN!I8</f>
        <v>2</v>
      </c>
      <c r="H8" s="299">
        <f>RELACIÓN!J8</f>
        <v>4.08</v>
      </c>
      <c r="I8" s="298">
        <f>RELACIÓN!L8</f>
        <v>757.08</v>
      </c>
      <c r="J8" s="300">
        <f>RELACIÓN!M8</f>
        <v>0</v>
      </c>
      <c r="K8" s="301">
        <f>RELACIÓN!O8</f>
        <v>0</v>
      </c>
      <c r="L8" s="301">
        <f>RELACIÓN!P8</f>
        <v>0</v>
      </c>
      <c r="M8" s="302">
        <f>RELACIÓN!R8</f>
        <v>0</v>
      </c>
      <c r="N8" s="303" t="str">
        <f>RELACIÓN!S8</f>
        <v/>
      </c>
      <c r="O8" s="304" t="str">
        <f>RELACIÓN!AA8</f>
        <v/>
      </c>
      <c r="P8" s="305" t="str">
        <f>RELACIÓN!AB8</f>
        <v/>
      </c>
      <c r="Q8" s="306" t="str">
        <f>RELACIÓN!AC8</f>
        <v/>
      </c>
      <c r="R8" s="304" t="str">
        <f>RELACIÓN!AD8</f>
        <v/>
      </c>
      <c r="S8" s="304" t="str">
        <f>RELACIÓN!AE8</f>
        <v/>
      </c>
      <c r="T8" s="304" t="str">
        <f>RELACIÓN!AF8</f>
        <v/>
      </c>
      <c r="U8" s="306" t="str">
        <f>RELACIÓN!AG8</f>
        <v/>
      </c>
      <c r="V8" s="304" t="str">
        <f>RELACIÓN!AH8</f>
        <v/>
      </c>
      <c r="W8" s="304" t="str">
        <f>RELACIÓN!AI8</f>
        <v/>
      </c>
      <c r="X8" s="304" t="str">
        <f>RELACIÓN!AJ8</f>
        <v/>
      </c>
      <c r="Y8" s="304" t="str">
        <f>RELACIÓN!AK8</f>
        <v/>
      </c>
      <c r="Z8" s="304" t="str">
        <f>RELACIÓN!AL8</f>
        <v/>
      </c>
      <c r="AA8" s="304" t="str">
        <f>RELACIÓN!AM8</f>
        <v/>
      </c>
      <c r="AB8" s="304" t="str">
        <f>RELACIÓN!AN8</f>
        <v/>
      </c>
      <c r="AC8" s="304" t="str">
        <f>RELACIÓN!AO8</f>
        <v/>
      </c>
      <c r="AD8" s="304" t="str">
        <f>RELACIÓN!AP8</f>
        <v/>
      </c>
      <c r="AE8" s="304" t="str">
        <f>RELACIÓN!AQ8</f>
        <v/>
      </c>
      <c r="AF8" s="304" t="str">
        <f>RELACIÓN!AR8</f>
        <v/>
      </c>
      <c r="AG8" s="304" t="str">
        <f>RELACIÓN!AS8</f>
        <v/>
      </c>
      <c r="AH8" s="304" t="str">
        <f>RELACIÓN!AT8</f>
        <v/>
      </c>
      <c r="AI8" s="304" t="str">
        <f>RELACIÓN!AU8</f>
        <v/>
      </c>
      <c r="AJ8" s="304" t="str">
        <f>RELACIÓN!AV8</f>
        <v/>
      </c>
      <c r="AK8" s="304" t="str">
        <f>RELACIÓN!AW8</f>
        <v/>
      </c>
    </row>
    <row r="9" spans="1:37" ht="12" customHeight="1">
      <c r="A9" s="296">
        <f>IF(RELACIÓN!A9&lt;&gt;"",RELACIÓN!A9,"")</f>
        <v>51052</v>
      </c>
      <c r="B9" s="296">
        <f>IF(RELACIÓN!B9&lt;&gt;"",RELACIÓN!B9,"")</f>
        <v>51053</v>
      </c>
      <c r="C9" s="308" t="str">
        <f>IF(RELACIÓN!D9&lt;&gt;"",RELACIÓN!D9,"")</f>
        <v>DISTRIBUIDORA SAO VICENTE, C.A.</v>
      </c>
      <c r="D9" s="308" t="str">
        <f>IF(RELACIÓN!E9&lt;&gt;"",RELACIÓN!E9,"")</f>
        <v>CHARALLAVE</v>
      </c>
      <c r="E9" s="297">
        <f>IF(RELACIÓN!G9&lt;&gt;"",RELACIÓN!G9,"")</f>
        <v>45630</v>
      </c>
      <c r="F9" s="298">
        <f>RELACIÓN!H9</f>
        <v>9180</v>
      </c>
      <c r="G9" s="299">
        <f>RELACIÓN!I9</f>
        <v>216</v>
      </c>
      <c r="H9" s="299">
        <f>RELACIÓN!J9</f>
        <v>419.88</v>
      </c>
      <c r="I9" s="298">
        <f>RELACIÓN!L9</f>
        <v>9599.8799999999992</v>
      </c>
      <c r="J9" s="300">
        <f>RELACIÓN!M9</f>
        <v>9180</v>
      </c>
      <c r="K9" s="301">
        <f>RELACIÓN!O9</f>
        <v>9599.8799999999992</v>
      </c>
      <c r="L9" s="301">
        <f>RELACIÓN!P9</f>
        <v>10000</v>
      </c>
      <c r="M9" s="302" t="str">
        <f>RELACIÓN!R9</f>
        <v>RUBEN OROPEZA</v>
      </c>
      <c r="N9" s="303">
        <f>RELACIÓN!S9</f>
        <v>291</v>
      </c>
      <c r="O9" s="304">
        <f>RELACIÓN!AA9</f>
        <v>267.13800000000003</v>
      </c>
      <c r="P9" s="305">
        <f>RELACIÓN!AB9</f>
        <v>28.687858598232481</v>
      </c>
      <c r="Q9" s="306" t="str">
        <f>RELACIÓN!AC9</f>
        <v/>
      </c>
      <c r="R9" s="304" t="str">
        <f>RELACIÓN!AD9</f>
        <v/>
      </c>
      <c r="S9" s="304" t="str">
        <f>RELACIÓN!AE9</f>
        <v/>
      </c>
      <c r="T9" s="304" t="str">
        <f>RELACIÓN!AF9</f>
        <v/>
      </c>
      <c r="U9" s="306" t="str">
        <f>RELACIÓN!AG9</f>
        <v/>
      </c>
      <c r="V9" s="304">
        <f>RELACIÓN!AH9</f>
        <v>23.861999999999966</v>
      </c>
      <c r="W9" s="304">
        <f>RELACIÓN!AI9</f>
        <v>1.3121414017675193</v>
      </c>
      <c r="X9" s="304" t="str">
        <f>RELACIÓN!AJ9</f>
        <v/>
      </c>
      <c r="Y9" s="304" t="str">
        <f>RELACIÓN!AK9</f>
        <v/>
      </c>
      <c r="Z9" s="304" t="str">
        <f>RELACIÓN!AL9</f>
        <v/>
      </c>
      <c r="AA9" s="304" t="str">
        <f>RELACIÓN!AM9</f>
        <v/>
      </c>
      <c r="AB9" s="304" t="str">
        <f>RELACIÓN!AN9</f>
        <v/>
      </c>
      <c r="AC9" s="304">
        <f>RELACIÓN!AO9</f>
        <v>0</v>
      </c>
      <c r="AD9" s="304">
        <f>RELACIÓN!AP9</f>
        <v>0</v>
      </c>
      <c r="AE9" s="304" t="str">
        <f>RELACIÓN!AQ9</f>
        <v/>
      </c>
      <c r="AF9" s="304" t="str">
        <f>RELACIÓN!AR9</f>
        <v/>
      </c>
      <c r="AG9" s="304" t="str">
        <f>RELACIÓN!AS9</f>
        <v/>
      </c>
      <c r="AH9" s="304" t="str">
        <f>RELACIÓN!AT9</f>
        <v/>
      </c>
      <c r="AI9" s="304" t="str">
        <f>RELACIÓN!AU9</f>
        <v/>
      </c>
      <c r="AJ9" s="304">
        <f>RELACIÓN!AV9</f>
        <v>3.3437917973974676E-2</v>
      </c>
      <c r="AK9" s="304">
        <f>RELACIÓN!AW9</f>
        <v>1</v>
      </c>
    </row>
    <row r="10" spans="1:37" ht="12" customHeight="1">
      <c r="A10" s="296">
        <f>IF(RELACIÓN!A10&lt;&gt;"",RELACIÓN!A10,"")</f>
        <v>51085</v>
      </c>
      <c r="B10" s="296">
        <f>IF(RELACIÓN!B10&lt;&gt;"",RELACIÓN!B10,"")</f>
        <v>51086</v>
      </c>
      <c r="C10" s="308" t="str">
        <f>IF(RELACIÓN!D10&lt;&gt;"",RELACIÓN!D10,"")</f>
        <v>INVERSIONES LA GUADALUPANA DE VZLA C.A</v>
      </c>
      <c r="D10" s="308" t="str">
        <f>IF(RELACIÓN!E10&lt;&gt;"",RELACIÓN!E10,"")</f>
        <v>GUANARE</v>
      </c>
      <c r="E10" s="297">
        <f>IF(RELACIÓN!G10&lt;&gt;"",RELACIÓN!G10,"")</f>
        <v>45631</v>
      </c>
      <c r="F10" s="298">
        <f>RELACIÓN!H10</f>
        <v>8490</v>
      </c>
      <c r="G10" s="299">
        <f>RELACIÓN!I10</f>
        <v>195</v>
      </c>
      <c r="H10" s="299">
        <f>RELACIÓN!J10</f>
        <v>434.75999999999993</v>
      </c>
      <c r="I10" s="298">
        <f>RELACIÓN!L10</f>
        <v>9524.76</v>
      </c>
      <c r="J10" s="300">
        <f>RELACIÓN!M10</f>
        <v>9090</v>
      </c>
      <c r="K10" s="301">
        <f>RELACIÓN!O10</f>
        <v>9524.76</v>
      </c>
      <c r="L10" s="301">
        <f>RELACIÓN!P10</f>
        <v>10000</v>
      </c>
      <c r="M10" s="302" t="str">
        <f>RELACIÓN!R10</f>
        <v>JOSE MERIDA</v>
      </c>
      <c r="N10" s="303">
        <f>RELACIÓN!S10</f>
        <v>630</v>
      </c>
      <c r="O10" s="304">
        <f>RELACIÓN!AA10</f>
        <v>534.87</v>
      </c>
      <c r="P10" s="305">
        <f>RELACIÓN!AB10</f>
        <v>26.740831265039748</v>
      </c>
      <c r="Q10" s="306" t="str">
        <f>RELACIÓN!AC10</f>
        <v/>
      </c>
      <c r="R10" s="304" t="str">
        <f>RELACIÓN!AD10</f>
        <v/>
      </c>
      <c r="S10" s="304" t="str">
        <f>RELACIÓN!AE10</f>
        <v/>
      </c>
      <c r="T10" s="304" t="str">
        <f>RELACIÓN!AF10</f>
        <v/>
      </c>
      <c r="U10" s="306" t="str">
        <f>RELACIÓN!AG10</f>
        <v/>
      </c>
      <c r="V10" s="304">
        <f>RELACIÓN!AH10</f>
        <v>57.330000000000041</v>
      </c>
      <c r="W10" s="304">
        <f>RELACIÓN!AI10</f>
        <v>1.3693573381376538</v>
      </c>
      <c r="X10" s="304" t="str">
        <f>RELACIÓN!AJ10</f>
        <v/>
      </c>
      <c r="Y10" s="304" t="str">
        <f>RELACIÓN!AK10</f>
        <v/>
      </c>
      <c r="Z10" s="304" t="str">
        <f>RELACIÓN!AL10</f>
        <v/>
      </c>
      <c r="AA10" s="304" t="str">
        <f>RELACIÓN!AM10</f>
        <v/>
      </c>
      <c r="AB10" s="304" t="str">
        <f>RELACIÓN!AN10</f>
        <v/>
      </c>
      <c r="AC10" s="304">
        <f>RELACIÓN!AO10</f>
        <v>37.799999999999997</v>
      </c>
      <c r="AD10" s="304">
        <f>RELACIÓN!AP10</f>
        <v>1.8898113968225969</v>
      </c>
      <c r="AE10" s="304" t="str">
        <f>RELACIÓN!AQ10</f>
        <v/>
      </c>
      <c r="AF10" s="304" t="str">
        <f>RELACIÓN!AR10</f>
        <v/>
      </c>
      <c r="AG10" s="304" t="str">
        <f>RELACIÓN!AS10</f>
        <v/>
      </c>
      <c r="AH10" s="304" t="str">
        <f>RELACIÓN!AT10</f>
        <v/>
      </c>
      <c r="AI10" s="304" t="str">
        <f>RELACIÓN!AU10</f>
        <v/>
      </c>
      <c r="AJ10" s="304">
        <f>RELACIÓN!AV10</f>
        <v>6.5126070221525528E-2</v>
      </c>
      <c r="AK10" s="304">
        <f>RELACIÓN!AW10</f>
        <v>1</v>
      </c>
    </row>
    <row r="11" spans="1:37" ht="12" customHeight="1">
      <c r="A11" s="296">
        <f>IF(RELACIÓN!A11&lt;&gt;"",RELACIÓN!A11,"")</f>
        <v>51078</v>
      </c>
      <c r="B11" s="296">
        <f>IF(RELACIÓN!B11&lt;&gt;"",RELACIÓN!B11,"")</f>
        <v>51079</v>
      </c>
      <c r="C11" s="308" t="str">
        <f>IF(RELACIÓN!D11&lt;&gt;"",RELACIÓN!D11,"")</f>
        <v>BUENAVENTURA COMERCIAL, C.A</v>
      </c>
      <c r="D11" s="308" t="str">
        <f>IF(RELACIÓN!E11&lt;&gt;"",RELACIÓN!E11,"")</f>
        <v>VALENCIA</v>
      </c>
      <c r="E11" s="297">
        <f>IF(RELACIÓN!G11&lt;&gt;"",RELACIÓN!G11,"")</f>
        <v>45631</v>
      </c>
      <c r="F11" s="298">
        <f>RELACIÓN!H11</f>
        <v>1500</v>
      </c>
      <c r="G11" s="299">
        <f>RELACIÓN!I11</f>
        <v>24</v>
      </c>
      <c r="H11" s="299">
        <f>RELACIÓN!J11</f>
        <v>50.34</v>
      </c>
      <c r="I11" s="298">
        <f>RELACIÓN!L11</f>
        <v>1550.34</v>
      </c>
      <c r="J11" s="300">
        <f>RELACIÓN!M11</f>
        <v>3018</v>
      </c>
      <c r="K11" s="301">
        <f>RELACIÓN!O11</f>
        <v>3365.136</v>
      </c>
      <c r="L11" s="301">
        <f>RELACIÓN!P11</f>
        <v>3500</v>
      </c>
      <c r="M11" s="302" t="str">
        <f>RELACIÓN!R11</f>
        <v>TULIO PAEZ</v>
      </c>
      <c r="N11" s="303">
        <f>RELACIÓN!S11</f>
        <v>143</v>
      </c>
      <c r="O11" s="304">
        <f>RELACIÓN!AA11</f>
        <v>123.30685714285714</v>
      </c>
      <c r="P11" s="305">
        <f>RELACIÓN!AB11</f>
        <v>17.936867930449171</v>
      </c>
      <c r="Q11" s="306">
        <f>RELACIÓN!AC11</f>
        <v>37.667422653943255</v>
      </c>
      <c r="R11" s="304" t="str">
        <f>RELACIÓN!AD11</f>
        <v/>
      </c>
      <c r="S11" s="304" t="str">
        <f>RELACIÓN!AE11</f>
        <v/>
      </c>
      <c r="T11" s="304" t="str">
        <f>RELACIÓN!AF11</f>
        <v/>
      </c>
      <c r="U11" s="306" t="str">
        <f>RELACIÓN!AG11</f>
        <v/>
      </c>
      <c r="V11" s="304">
        <f>RELACIÓN!AH11</f>
        <v>19.69314285714286</v>
      </c>
      <c r="W11" s="304">
        <f>RELACIÓN!AI11</f>
        <v>2.0631320695508286</v>
      </c>
      <c r="X11" s="304">
        <f>RELACIÓN!AJ11</f>
        <v>4.3325773460567447</v>
      </c>
      <c r="Y11" s="304" t="str">
        <f>RELACIÓN!AK11</f>
        <v/>
      </c>
      <c r="Z11" s="304" t="str">
        <f>RELACIÓN!AL11</f>
        <v/>
      </c>
      <c r="AA11" s="304" t="str">
        <f>RELACIÓN!AM11</f>
        <v/>
      </c>
      <c r="AB11" s="304" t="str">
        <f>RELACIÓN!AN11</f>
        <v/>
      </c>
      <c r="AC11" s="304">
        <f>RELACIÓN!AO11</f>
        <v>0</v>
      </c>
      <c r="AD11" s="304">
        <f>RELACIÓN!AP11</f>
        <v>0</v>
      </c>
      <c r="AE11" s="304">
        <f>RELACIÓN!AQ11</f>
        <v>0</v>
      </c>
      <c r="AF11" s="304" t="str">
        <f>RELACIÓN!AR11</f>
        <v/>
      </c>
      <c r="AG11" s="304" t="str">
        <f>RELACIÓN!AS11</f>
        <v/>
      </c>
      <c r="AH11" s="304" t="str">
        <f>RELACIÓN!AT11</f>
        <v/>
      </c>
      <c r="AI11" s="304" t="str">
        <f>RELACIÓN!AU11</f>
        <v/>
      </c>
      <c r="AJ11" s="304">
        <f>RELACIÓN!AV11</f>
        <v>6.0918786046091446E-2</v>
      </c>
      <c r="AK11" s="304">
        <f>RELACIÓN!AW11</f>
        <v>1</v>
      </c>
    </row>
    <row r="12" spans="1:37" ht="12" customHeight="1">
      <c r="A12" s="296" t="str">
        <f>IF(RELACIÓN!A12&lt;&gt;"",RELACIÓN!A12,"")</f>
        <v/>
      </c>
      <c r="B12" s="296" t="str">
        <f>IF(RELACIÓN!B12&lt;&gt;"",RELACIÓN!B12,"")</f>
        <v/>
      </c>
      <c r="C12" s="308" t="str">
        <f>IF(RELACIÓN!D12&lt;&gt;"",RELACIÓN!D12,"")</f>
        <v>COMERCIAL YI 38, C.A</v>
      </c>
      <c r="D12" s="308" t="str">
        <f>IF(RELACIÓN!E12&lt;&gt;"",RELACIÓN!E12,"")</f>
        <v>VALENCIA</v>
      </c>
      <c r="E12" s="297">
        <f>IF(RELACIÓN!G12&lt;&gt;"",RELACIÓN!G12,"")</f>
        <v>45631</v>
      </c>
      <c r="F12" s="298">
        <f>RELACIÓN!H12</f>
        <v>0</v>
      </c>
      <c r="G12" s="299">
        <f>RELACIÓN!I12</f>
        <v>40</v>
      </c>
      <c r="H12" s="299">
        <f>RELACIÓN!J12</f>
        <v>92.16</v>
      </c>
      <c r="I12" s="298">
        <f>RELACIÓN!L12</f>
        <v>92.16</v>
      </c>
      <c r="J12" s="300">
        <f>RELACIÓN!M12</f>
        <v>0</v>
      </c>
      <c r="K12" s="301">
        <f>RELACIÓN!O12</f>
        <v>0</v>
      </c>
      <c r="L12" s="301">
        <f>RELACIÓN!P12</f>
        <v>0</v>
      </c>
      <c r="M12" s="302">
        <f>RELACIÓN!R12</f>
        <v>0</v>
      </c>
      <c r="N12" s="303" t="str">
        <f>RELACIÓN!S12</f>
        <v/>
      </c>
      <c r="O12" s="304" t="str">
        <f>RELACIÓN!AA12</f>
        <v/>
      </c>
      <c r="P12" s="305" t="str">
        <f>RELACIÓN!AB12</f>
        <v/>
      </c>
      <c r="Q12" s="306" t="str">
        <f>RELACIÓN!AC12</f>
        <v/>
      </c>
      <c r="R12" s="304" t="str">
        <f>RELACIÓN!AD12</f>
        <v/>
      </c>
      <c r="S12" s="304" t="str">
        <f>RELACIÓN!AE12</f>
        <v/>
      </c>
      <c r="T12" s="304" t="str">
        <f>RELACIÓN!AF12</f>
        <v/>
      </c>
      <c r="U12" s="306" t="str">
        <f>RELACIÓN!AG12</f>
        <v/>
      </c>
      <c r="V12" s="304" t="str">
        <f>RELACIÓN!AH12</f>
        <v/>
      </c>
      <c r="W12" s="304" t="str">
        <f>RELACIÓN!AI12</f>
        <v/>
      </c>
      <c r="X12" s="304" t="str">
        <f>RELACIÓN!AJ12</f>
        <v/>
      </c>
      <c r="Y12" s="304" t="str">
        <f>RELACIÓN!AK12</f>
        <v/>
      </c>
      <c r="Z12" s="304" t="str">
        <f>RELACIÓN!AL12</f>
        <v/>
      </c>
      <c r="AA12" s="304" t="str">
        <f>RELACIÓN!AM12</f>
        <v/>
      </c>
      <c r="AB12" s="304" t="str">
        <f>RELACIÓN!AN12</f>
        <v/>
      </c>
      <c r="AC12" s="304" t="str">
        <f>RELACIÓN!AO12</f>
        <v/>
      </c>
      <c r="AD12" s="304" t="str">
        <f>RELACIÓN!AP12</f>
        <v/>
      </c>
      <c r="AE12" s="304" t="str">
        <f>RELACIÓN!AQ12</f>
        <v/>
      </c>
      <c r="AF12" s="304" t="str">
        <f>RELACIÓN!AR12</f>
        <v/>
      </c>
      <c r="AG12" s="304" t="str">
        <f>RELACIÓN!AS12</f>
        <v/>
      </c>
      <c r="AH12" s="304" t="str">
        <f>RELACIÓN!AT12</f>
        <v/>
      </c>
      <c r="AI12" s="304" t="str">
        <f>RELACIÓN!AU12</f>
        <v/>
      </c>
      <c r="AJ12" s="304" t="str">
        <f>RELACIÓN!AV12</f>
        <v/>
      </c>
      <c r="AK12" s="304" t="str">
        <f>RELACIÓN!AW12</f>
        <v/>
      </c>
    </row>
    <row r="13" spans="1:37" ht="12" customHeight="1">
      <c r="A13" s="296" t="str">
        <f>IF(RELACIÓN!A13&lt;&gt;"",RELACIÓN!A13,"")</f>
        <v/>
      </c>
      <c r="B13" s="296" t="str">
        <f>IF(RELACIÓN!B13&lt;&gt;"",RELACIÓN!B13,"")</f>
        <v/>
      </c>
      <c r="C13" s="308" t="str">
        <f>IF(RELACIÓN!D13&lt;&gt;"",RELACIÓN!D13,"")</f>
        <v>CONFITERIA ETERNA, C.A</v>
      </c>
      <c r="D13" s="308" t="str">
        <f>IF(RELACIÓN!E13&lt;&gt;"",RELACIÓN!E13,"")</f>
        <v>VALENCIA</v>
      </c>
      <c r="E13" s="297">
        <f>IF(RELACIÓN!G13&lt;&gt;"",RELACIÓN!G13,"")</f>
        <v>45631</v>
      </c>
      <c r="F13" s="298">
        <f>RELACIÓN!H13</f>
        <v>0</v>
      </c>
      <c r="G13" s="299">
        <f>RELACIÓN!I13</f>
        <v>57</v>
      </c>
      <c r="H13" s="299">
        <f>RELACIÓN!J13</f>
        <v>133.19999999999999</v>
      </c>
      <c r="I13" s="298">
        <f>RELACIÓN!L13</f>
        <v>133.19999999999999</v>
      </c>
      <c r="J13" s="300">
        <f>RELACIÓN!M13</f>
        <v>0</v>
      </c>
      <c r="K13" s="301">
        <f>RELACIÓN!O13</f>
        <v>0</v>
      </c>
      <c r="L13" s="301">
        <f>RELACIÓN!P13</f>
        <v>0</v>
      </c>
      <c r="M13" s="302">
        <f>RELACIÓN!R13</f>
        <v>0</v>
      </c>
      <c r="N13" s="303" t="str">
        <f>RELACIÓN!S13</f>
        <v/>
      </c>
      <c r="O13" s="304" t="str">
        <f>RELACIÓN!AA13</f>
        <v/>
      </c>
      <c r="P13" s="305" t="str">
        <f>RELACIÓN!AB13</f>
        <v/>
      </c>
      <c r="Q13" s="306" t="str">
        <f>RELACIÓN!AC13</f>
        <v/>
      </c>
      <c r="R13" s="304" t="str">
        <f>RELACIÓN!AD13</f>
        <v/>
      </c>
      <c r="S13" s="304" t="str">
        <f>RELACIÓN!AE13</f>
        <v/>
      </c>
      <c r="T13" s="304" t="str">
        <f>RELACIÓN!AF13</f>
        <v/>
      </c>
      <c r="U13" s="306" t="str">
        <f>RELACIÓN!AG13</f>
        <v/>
      </c>
      <c r="V13" s="304" t="str">
        <f>RELACIÓN!AH13</f>
        <v/>
      </c>
      <c r="W13" s="304" t="str">
        <f>RELACIÓN!AI13</f>
        <v/>
      </c>
      <c r="X13" s="304" t="str">
        <f>RELACIÓN!AJ13</f>
        <v/>
      </c>
      <c r="Y13" s="304" t="str">
        <f>RELACIÓN!AK13</f>
        <v/>
      </c>
      <c r="Z13" s="304" t="str">
        <f>RELACIÓN!AL13</f>
        <v/>
      </c>
      <c r="AA13" s="304" t="str">
        <f>RELACIÓN!AM13</f>
        <v/>
      </c>
      <c r="AB13" s="304" t="str">
        <f>RELACIÓN!AN13</f>
        <v/>
      </c>
      <c r="AC13" s="304" t="str">
        <f>RELACIÓN!AO13</f>
        <v/>
      </c>
      <c r="AD13" s="304" t="str">
        <f>RELACIÓN!AP13</f>
        <v/>
      </c>
      <c r="AE13" s="304" t="str">
        <f>RELACIÓN!AQ13</f>
        <v/>
      </c>
      <c r="AF13" s="304" t="str">
        <f>RELACIÓN!AR13</f>
        <v/>
      </c>
      <c r="AG13" s="304" t="str">
        <f>RELACIÓN!AS13</f>
        <v/>
      </c>
      <c r="AH13" s="304" t="str">
        <f>RELACIÓN!AT13</f>
        <v/>
      </c>
      <c r="AI13" s="304" t="str">
        <f>RELACIÓN!AU13</f>
        <v/>
      </c>
      <c r="AJ13" s="304" t="str">
        <f>RELACIÓN!AV13</f>
        <v/>
      </c>
      <c r="AK13" s="304" t="str">
        <f>RELACIÓN!AW13</f>
        <v/>
      </c>
    </row>
    <row r="14" spans="1:37" ht="12" customHeight="1">
      <c r="A14" s="296" t="str">
        <f>IF(RELACIÓN!A14&lt;&gt;"",RELACIÓN!A14,"")</f>
        <v/>
      </c>
      <c r="B14" s="296" t="str">
        <f>IF(RELACIÓN!B14&lt;&gt;"",RELACIÓN!B14,"")</f>
        <v/>
      </c>
      <c r="C14" s="308" t="str">
        <f>IF(RELACIÓN!D14&lt;&gt;"",RELACIÓN!D14,"")</f>
        <v>FRIGORIFICO LA PUNTA 2016, C.A</v>
      </c>
      <c r="D14" s="308" t="str">
        <f>IF(RELACIÓN!E14&lt;&gt;"",RELACIÓN!E14,"")</f>
        <v>VALENCIA</v>
      </c>
      <c r="E14" s="297">
        <f>IF(RELACIÓN!G14&lt;&gt;"",RELACIÓN!G14,"")</f>
        <v>45631</v>
      </c>
      <c r="F14" s="298">
        <f>RELACIÓN!H14</f>
        <v>30</v>
      </c>
      <c r="G14" s="299">
        <f>RELACIÓN!I14</f>
        <v>2</v>
      </c>
      <c r="H14" s="299">
        <f>RELACIÓN!J14</f>
        <v>4.32</v>
      </c>
      <c r="I14" s="298">
        <f>RELACIÓN!L14</f>
        <v>34.32</v>
      </c>
      <c r="J14" s="300">
        <f>RELACIÓN!M14</f>
        <v>0</v>
      </c>
      <c r="K14" s="301">
        <f>RELACIÓN!O14</f>
        <v>0</v>
      </c>
      <c r="L14" s="301">
        <f>RELACIÓN!P14</f>
        <v>0</v>
      </c>
      <c r="M14" s="302">
        <f>RELACIÓN!R14</f>
        <v>0</v>
      </c>
      <c r="N14" s="303" t="str">
        <f>RELACIÓN!S14</f>
        <v/>
      </c>
      <c r="O14" s="304" t="str">
        <f>RELACIÓN!AA14</f>
        <v/>
      </c>
      <c r="P14" s="305" t="str">
        <f>RELACIÓN!AB14</f>
        <v/>
      </c>
      <c r="Q14" s="306" t="str">
        <f>RELACIÓN!AC14</f>
        <v/>
      </c>
      <c r="R14" s="304" t="str">
        <f>RELACIÓN!AD14</f>
        <v/>
      </c>
      <c r="S14" s="304" t="str">
        <f>RELACIÓN!AE14</f>
        <v/>
      </c>
      <c r="T14" s="304" t="str">
        <f>RELACIÓN!AF14</f>
        <v/>
      </c>
      <c r="U14" s="306" t="str">
        <f>RELACIÓN!AG14</f>
        <v/>
      </c>
      <c r="V14" s="304" t="str">
        <f>RELACIÓN!AH14</f>
        <v/>
      </c>
      <c r="W14" s="304" t="str">
        <f>RELACIÓN!AI14</f>
        <v/>
      </c>
      <c r="X14" s="304" t="str">
        <f>RELACIÓN!AJ14</f>
        <v/>
      </c>
      <c r="Y14" s="304" t="str">
        <f>RELACIÓN!AK14</f>
        <v/>
      </c>
      <c r="Z14" s="304" t="str">
        <f>RELACIÓN!AL14</f>
        <v/>
      </c>
      <c r="AA14" s="304" t="str">
        <f>RELACIÓN!AM14</f>
        <v/>
      </c>
      <c r="AB14" s="304" t="str">
        <f>RELACIÓN!AN14</f>
        <v/>
      </c>
      <c r="AC14" s="304" t="str">
        <f>RELACIÓN!AO14</f>
        <v/>
      </c>
      <c r="AD14" s="304" t="str">
        <f>RELACIÓN!AP14</f>
        <v/>
      </c>
      <c r="AE14" s="304" t="str">
        <f>RELACIÓN!AQ14</f>
        <v/>
      </c>
      <c r="AF14" s="304" t="str">
        <f>RELACIÓN!AR14</f>
        <v/>
      </c>
      <c r="AG14" s="304" t="str">
        <f>RELACIÓN!AS14</f>
        <v/>
      </c>
      <c r="AH14" s="304" t="str">
        <f>RELACIÓN!AT14</f>
        <v/>
      </c>
      <c r="AI14" s="304" t="str">
        <f>RELACIÓN!AU14</f>
        <v/>
      </c>
      <c r="AJ14" s="304" t="str">
        <f>RELACIÓN!AV14</f>
        <v/>
      </c>
      <c r="AK14" s="304" t="str">
        <f>RELACIÓN!AW14</f>
        <v/>
      </c>
    </row>
    <row r="15" spans="1:37" ht="12" customHeight="1">
      <c r="A15" s="296" t="str">
        <f>IF(RELACIÓN!A15&lt;&gt;"",RELACIÓN!A15,"")</f>
        <v/>
      </c>
      <c r="B15" s="296" t="str">
        <f>IF(RELACIÓN!B15&lt;&gt;"",RELACIÓN!B15,"")</f>
        <v/>
      </c>
      <c r="C15" s="308" t="str">
        <f>IF(RELACIÓN!D15&lt;&gt;"",RELACIÓN!D15,"")</f>
        <v>MAYOR RKL, C.A.</v>
      </c>
      <c r="D15" s="308" t="str">
        <f>IF(RELACIÓN!E15&lt;&gt;"",RELACIÓN!E15,"")</f>
        <v>VALENCIA</v>
      </c>
      <c r="E15" s="297">
        <f>IF(RELACIÓN!G15&lt;&gt;"",RELACIÓN!G15,"")</f>
        <v>45631</v>
      </c>
      <c r="F15" s="298">
        <f>RELACIÓN!H15</f>
        <v>630</v>
      </c>
      <c r="G15" s="299">
        <f>RELACIÓN!I15</f>
        <v>27</v>
      </c>
      <c r="H15" s="299">
        <f>RELACIÓN!J15</f>
        <v>57.36</v>
      </c>
      <c r="I15" s="298">
        <f>RELACIÓN!L15</f>
        <v>687.36</v>
      </c>
      <c r="J15" s="300">
        <f>RELACIÓN!M15</f>
        <v>0</v>
      </c>
      <c r="K15" s="301">
        <f>RELACIÓN!O15</f>
        <v>0</v>
      </c>
      <c r="L15" s="301">
        <f>RELACIÓN!P15</f>
        <v>0</v>
      </c>
      <c r="M15" s="302">
        <f>RELACIÓN!R15</f>
        <v>0</v>
      </c>
      <c r="N15" s="303" t="str">
        <f>RELACIÓN!S15</f>
        <v/>
      </c>
      <c r="O15" s="304" t="str">
        <f>RELACIÓN!AA15</f>
        <v/>
      </c>
      <c r="P15" s="305" t="str">
        <f>RELACIÓN!AB15</f>
        <v/>
      </c>
      <c r="Q15" s="306" t="str">
        <f>RELACIÓN!AC15</f>
        <v/>
      </c>
      <c r="R15" s="304" t="str">
        <f>RELACIÓN!AD15</f>
        <v/>
      </c>
      <c r="S15" s="304" t="str">
        <f>RELACIÓN!AE15</f>
        <v/>
      </c>
      <c r="T15" s="304" t="str">
        <f>RELACIÓN!AF15</f>
        <v/>
      </c>
      <c r="U15" s="306" t="str">
        <f>RELACIÓN!AG15</f>
        <v/>
      </c>
      <c r="V15" s="304" t="str">
        <f>RELACIÓN!AH15</f>
        <v/>
      </c>
      <c r="W15" s="304" t="str">
        <f>RELACIÓN!AI15</f>
        <v/>
      </c>
      <c r="X15" s="304" t="str">
        <f>RELACIÓN!AJ15</f>
        <v/>
      </c>
      <c r="Y15" s="304" t="str">
        <f>RELACIÓN!AK15</f>
        <v/>
      </c>
      <c r="Z15" s="304" t="str">
        <f>RELACIÓN!AL15</f>
        <v/>
      </c>
      <c r="AA15" s="304" t="str">
        <f>RELACIÓN!AM15</f>
        <v/>
      </c>
      <c r="AB15" s="304" t="str">
        <f>RELACIÓN!AN15</f>
        <v/>
      </c>
      <c r="AC15" s="304" t="str">
        <f>RELACIÓN!AO15</f>
        <v/>
      </c>
      <c r="AD15" s="304" t="str">
        <f>RELACIÓN!AP15</f>
        <v/>
      </c>
      <c r="AE15" s="304" t="str">
        <f>RELACIÓN!AQ15</f>
        <v/>
      </c>
      <c r="AF15" s="304" t="str">
        <f>RELACIÓN!AR15</f>
        <v/>
      </c>
      <c r="AG15" s="304" t="str">
        <f>RELACIÓN!AS15</f>
        <v/>
      </c>
      <c r="AH15" s="304" t="str">
        <f>RELACIÓN!AT15</f>
        <v/>
      </c>
      <c r="AI15" s="304" t="str">
        <f>RELACIÓN!AU15</f>
        <v/>
      </c>
      <c r="AJ15" s="304" t="str">
        <f>RELACIÓN!AV15</f>
        <v/>
      </c>
      <c r="AK15" s="304" t="str">
        <f>RELACIÓN!AW15</f>
        <v/>
      </c>
    </row>
    <row r="16" spans="1:37" ht="12" customHeight="1">
      <c r="A16" s="296" t="str">
        <f>IF(RELACIÓN!A16&lt;&gt;"",RELACIÓN!A16,"")</f>
        <v/>
      </c>
      <c r="B16" s="296" t="str">
        <f>IF(RELACIÓN!B16&lt;&gt;"",RELACIÓN!B16,"")</f>
        <v/>
      </c>
      <c r="C16" s="308" t="str">
        <f>IF(RELACIÓN!D16&lt;&gt;"",RELACIÓN!D16,"")</f>
        <v>SUPERMERCADO BELLA LOMAS, C.A</v>
      </c>
      <c r="D16" s="308" t="str">
        <f>IF(RELACIÓN!E16&lt;&gt;"",RELACIÓN!E16,"")</f>
        <v>VALENCIA</v>
      </c>
      <c r="E16" s="297">
        <f>IF(RELACIÓN!G16&lt;&gt;"",RELACIÓN!G16,"")</f>
        <v>45631</v>
      </c>
      <c r="F16" s="298">
        <f>RELACIÓN!H16</f>
        <v>360</v>
      </c>
      <c r="G16" s="299">
        <f>RELACIÓN!I16</f>
        <v>1</v>
      </c>
      <c r="H16" s="299">
        <f>RELACIÓN!J16</f>
        <v>1.68</v>
      </c>
      <c r="I16" s="298">
        <f>RELACIÓN!L16</f>
        <v>361.68</v>
      </c>
      <c r="J16" s="300">
        <f>RELACIÓN!M16</f>
        <v>0</v>
      </c>
      <c r="K16" s="301">
        <f>RELACIÓN!O16</f>
        <v>0</v>
      </c>
      <c r="L16" s="301">
        <f>RELACIÓN!P16</f>
        <v>0</v>
      </c>
      <c r="M16" s="302">
        <f>RELACIÓN!R16</f>
        <v>0</v>
      </c>
      <c r="N16" s="303" t="str">
        <f>RELACIÓN!S16</f>
        <v/>
      </c>
      <c r="O16" s="304" t="str">
        <f>RELACIÓN!AA16</f>
        <v/>
      </c>
      <c r="P16" s="305" t="str">
        <f>RELACIÓN!AB16</f>
        <v/>
      </c>
      <c r="Q16" s="306" t="str">
        <f>RELACIÓN!AC16</f>
        <v/>
      </c>
      <c r="R16" s="304" t="str">
        <f>RELACIÓN!AD16</f>
        <v/>
      </c>
      <c r="S16" s="304" t="str">
        <f>RELACIÓN!AE16</f>
        <v/>
      </c>
      <c r="T16" s="304" t="str">
        <f>RELACIÓN!AF16</f>
        <v/>
      </c>
      <c r="U16" s="306" t="str">
        <f>RELACIÓN!AG16</f>
        <v/>
      </c>
      <c r="V16" s="304" t="str">
        <f>RELACIÓN!AH16</f>
        <v/>
      </c>
      <c r="W16" s="304" t="str">
        <f>RELACIÓN!AI16</f>
        <v/>
      </c>
      <c r="X16" s="304" t="str">
        <f>RELACIÓN!AJ16</f>
        <v/>
      </c>
      <c r="Y16" s="304" t="str">
        <f>RELACIÓN!AK16</f>
        <v/>
      </c>
      <c r="Z16" s="304" t="str">
        <f>RELACIÓN!AL16</f>
        <v/>
      </c>
      <c r="AA16" s="304" t="str">
        <f>RELACIÓN!AM16</f>
        <v/>
      </c>
      <c r="AB16" s="304" t="str">
        <f>RELACIÓN!AN16</f>
        <v/>
      </c>
      <c r="AC16" s="304" t="str">
        <f>RELACIÓN!AO16</f>
        <v/>
      </c>
      <c r="AD16" s="304" t="str">
        <f>RELACIÓN!AP16</f>
        <v/>
      </c>
      <c r="AE16" s="304" t="str">
        <f>RELACIÓN!AQ16</f>
        <v/>
      </c>
      <c r="AF16" s="304" t="str">
        <f>RELACIÓN!AR16</f>
        <v/>
      </c>
      <c r="AG16" s="304" t="str">
        <f>RELACIÓN!AS16</f>
        <v/>
      </c>
      <c r="AH16" s="304" t="str">
        <f>RELACIÓN!AT16</f>
        <v/>
      </c>
      <c r="AI16" s="304" t="str">
        <f>RELACIÓN!AU16</f>
        <v/>
      </c>
      <c r="AJ16" s="304" t="str">
        <f>RELACIÓN!AV16</f>
        <v/>
      </c>
      <c r="AK16" s="304" t="str">
        <f>RELACIÓN!AW16</f>
        <v/>
      </c>
    </row>
    <row r="17" spans="1:37" ht="12" customHeight="1">
      <c r="A17" s="296" t="str">
        <f>IF(RELACIÓN!A17&lt;&gt;"",RELACIÓN!A17,"")</f>
        <v/>
      </c>
      <c r="B17" s="296" t="str">
        <f>IF(RELACIÓN!B17&lt;&gt;"",RELACIÓN!B17,"")</f>
        <v/>
      </c>
      <c r="C17" s="308" t="str">
        <f>IF(RELACIÓN!D17&lt;&gt;"",RELACIÓN!D17,"")</f>
        <v>SUPERMERCADO DEMOCRACIA, C.A</v>
      </c>
      <c r="D17" s="308" t="str">
        <f>IF(RELACIÓN!E17&lt;&gt;"",RELACIÓN!E17,"")</f>
        <v>VALENCIA</v>
      </c>
      <c r="E17" s="297">
        <f>IF(RELACIÓN!G17&lt;&gt;"",RELACIÓN!G17,"")</f>
        <v>45631</v>
      </c>
      <c r="F17" s="298">
        <f>RELACIÓN!H17</f>
        <v>480</v>
      </c>
      <c r="G17" s="299">
        <f>RELACIÓN!I17</f>
        <v>1</v>
      </c>
      <c r="H17" s="299">
        <f>RELACIÓN!J17</f>
        <v>2.16</v>
      </c>
      <c r="I17" s="298">
        <f>RELACIÓN!L17</f>
        <v>482.16</v>
      </c>
      <c r="J17" s="300">
        <f>RELACIÓN!M17</f>
        <v>0</v>
      </c>
      <c r="K17" s="301">
        <f>RELACIÓN!O17</f>
        <v>0</v>
      </c>
      <c r="L17" s="301">
        <f>RELACIÓN!P17</f>
        <v>0</v>
      </c>
      <c r="M17" s="302">
        <f>RELACIÓN!R17</f>
        <v>0</v>
      </c>
      <c r="N17" s="303" t="str">
        <f>RELACIÓN!S17</f>
        <v/>
      </c>
      <c r="O17" s="304" t="str">
        <f>RELACIÓN!AA17</f>
        <v/>
      </c>
      <c r="P17" s="305" t="str">
        <f>RELACIÓN!AB17</f>
        <v/>
      </c>
      <c r="Q17" s="306" t="str">
        <f>RELACIÓN!AC17</f>
        <v/>
      </c>
      <c r="R17" s="304" t="str">
        <f>RELACIÓN!AD17</f>
        <v/>
      </c>
      <c r="S17" s="304" t="str">
        <f>RELACIÓN!AE17</f>
        <v/>
      </c>
      <c r="T17" s="304" t="str">
        <f>RELACIÓN!AF17</f>
        <v/>
      </c>
      <c r="U17" s="306" t="str">
        <f>RELACIÓN!AG17</f>
        <v/>
      </c>
      <c r="V17" s="304" t="str">
        <f>RELACIÓN!AH17</f>
        <v/>
      </c>
      <c r="W17" s="304" t="str">
        <f>RELACIÓN!AI17</f>
        <v/>
      </c>
      <c r="X17" s="304" t="str">
        <f>RELACIÓN!AJ17</f>
        <v/>
      </c>
      <c r="Y17" s="304" t="str">
        <f>RELACIÓN!AK17</f>
        <v/>
      </c>
      <c r="Z17" s="304" t="str">
        <f>RELACIÓN!AL17</f>
        <v/>
      </c>
      <c r="AA17" s="304" t="str">
        <f>RELACIÓN!AM17</f>
        <v/>
      </c>
      <c r="AB17" s="304" t="str">
        <f>RELACIÓN!AN17</f>
        <v/>
      </c>
      <c r="AC17" s="304" t="str">
        <f>RELACIÓN!AO17</f>
        <v/>
      </c>
      <c r="AD17" s="304" t="str">
        <f>RELACIÓN!AP17</f>
        <v/>
      </c>
      <c r="AE17" s="304" t="str">
        <f>RELACIÓN!AQ17</f>
        <v/>
      </c>
      <c r="AF17" s="304" t="str">
        <f>RELACIÓN!AR17</f>
        <v/>
      </c>
      <c r="AG17" s="304" t="str">
        <f>RELACIÓN!AS17</f>
        <v/>
      </c>
      <c r="AH17" s="304" t="str">
        <f>RELACIÓN!AT17</f>
        <v/>
      </c>
      <c r="AI17" s="304" t="str">
        <f>RELACIÓN!AU17</f>
        <v/>
      </c>
      <c r="AJ17" s="304" t="str">
        <f>RELACIÓN!AV17</f>
        <v/>
      </c>
      <c r="AK17" s="304" t="str">
        <f>RELACIÓN!AW17</f>
        <v/>
      </c>
    </row>
    <row r="18" spans="1:37" ht="12" customHeight="1">
      <c r="A18" s="296" t="str">
        <f>IF(RELACIÓN!A18&lt;&gt;"",RELACIÓN!A18,"")</f>
        <v/>
      </c>
      <c r="B18" s="296" t="str">
        <f>IF(RELACIÓN!B18&lt;&gt;"",RELACIÓN!B18,"")</f>
        <v/>
      </c>
      <c r="C18" s="308" t="str">
        <f>IF(RELACIÓN!D18&lt;&gt;"",RELACIÓN!D18,"")</f>
        <v>SUPERMERCADO VILLA MARYLU, C. A.</v>
      </c>
      <c r="D18" s="308" t="str">
        <f>IF(RELACIÓN!E18&lt;&gt;"",RELACIÓN!E18,"")</f>
        <v>VALENCIA</v>
      </c>
      <c r="E18" s="297">
        <f>IF(RELACIÓN!G18&lt;&gt;"",RELACIÓN!G18,"")</f>
        <v>45631</v>
      </c>
      <c r="F18" s="298">
        <f>RELACIÓN!H18</f>
        <v>18</v>
      </c>
      <c r="G18" s="299">
        <f>RELACIÓN!I18</f>
        <v>3</v>
      </c>
      <c r="H18" s="299">
        <f>RELACIÓN!J18</f>
        <v>5.9160000000000004</v>
      </c>
      <c r="I18" s="298">
        <f>RELACIÓN!L18</f>
        <v>23.916</v>
      </c>
      <c r="J18" s="300">
        <f>RELACIÓN!M18</f>
        <v>0</v>
      </c>
      <c r="K18" s="301">
        <f>RELACIÓN!O18</f>
        <v>0</v>
      </c>
      <c r="L18" s="301">
        <f>RELACIÓN!P18</f>
        <v>0</v>
      </c>
      <c r="M18" s="302">
        <f>RELACIÓN!R18</f>
        <v>0</v>
      </c>
      <c r="N18" s="303" t="str">
        <f>RELACIÓN!S18</f>
        <v/>
      </c>
      <c r="O18" s="304" t="str">
        <f>RELACIÓN!AA18</f>
        <v/>
      </c>
      <c r="P18" s="305" t="str">
        <f>RELACIÓN!AB18</f>
        <v/>
      </c>
      <c r="Q18" s="306" t="str">
        <f>RELACIÓN!AC18</f>
        <v/>
      </c>
      <c r="R18" s="304" t="str">
        <f>RELACIÓN!AD18</f>
        <v/>
      </c>
      <c r="S18" s="304" t="str">
        <f>RELACIÓN!AE18</f>
        <v/>
      </c>
      <c r="T18" s="304" t="str">
        <f>RELACIÓN!AF18</f>
        <v/>
      </c>
      <c r="U18" s="306" t="str">
        <f>RELACIÓN!AG18</f>
        <v/>
      </c>
      <c r="V18" s="304" t="str">
        <f>RELACIÓN!AH18</f>
        <v/>
      </c>
      <c r="W18" s="304" t="str">
        <f>RELACIÓN!AI18</f>
        <v/>
      </c>
      <c r="X18" s="304" t="str">
        <f>RELACIÓN!AJ18</f>
        <v/>
      </c>
      <c r="Y18" s="304" t="str">
        <f>RELACIÓN!AK18</f>
        <v/>
      </c>
      <c r="Z18" s="304" t="str">
        <f>RELACIÓN!AL18</f>
        <v/>
      </c>
      <c r="AA18" s="304" t="str">
        <f>RELACIÓN!AM18</f>
        <v/>
      </c>
      <c r="AB18" s="304" t="str">
        <f>RELACIÓN!AN18</f>
        <v/>
      </c>
      <c r="AC18" s="304" t="str">
        <f>RELACIÓN!AO18</f>
        <v/>
      </c>
      <c r="AD18" s="304" t="str">
        <f>RELACIÓN!AP18</f>
        <v/>
      </c>
      <c r="AE18" s="304" t="str">
        <f>RELACIÓN!AQ18</f>
        <v/>
      </c>
      <c r="AF18" s="304" t="str">
        <f>RELACIÓN!AR18</f>
        <v/>
      </c>
      <c r="AG18" s="304" t="str">
        <f>RELACIÓN!AS18</f>
        <v/>
      </c>
      <c r="AH18" s="304" t="str">
        <f>RELACIÓN!AT18</f>
        <v/>
      </c>
      <c r="AI18" s="304" t="str">
        <f>RELACIÓN!AU18</f>
        <v/>
      </c>
      <c r="AJ18" s="304" t="str">
        <f>RELACIÓN!AV18</f>
        <v/>
      </c>
      <c r="AK18" s="304" t="str">
        <f>RELACIÓN!AW18</f>
        <v/>
      </c>
    </row>
    <row r="19" spans="1:37" ht="12" customHeight="1">
      <c r="A19" s="296">
        <f>IF(RELACIÓN!A19&lt;&gt;"",RELACIÓN!A19,"")</f>
        <v>51076</v>
      </c>
      <c r="B19" s="296">
        <f>IF(RELACIÓN!B19&lt;&gt;"",RELACIÓN!B19,"")</f>
        <v>51077</v>
      </c>
      <c r="C19" s="308" t="str">
        <f>IF(RELACIÓN!D19&lt;&gt;"",RELACIÓN!D19,"")</f>
        <v>DISTRIBUIDORA CAYO DE AGUA, C.A</v>
      </c>
      <c r="D19" s="308" t="str">
        <f>IF(RELACIÓN!E19&lt;&gt;"",RELACIÓN!E19,"")</f>
        <v>CARACAS</v>
      </c>
      <c r="E19" s="297">
        <f>IF(RELACIÓN!G19&lt;&gt;"",RELACIÓN!G19,"")</f>
        <v>45631</v>
      </c>
      <c r="F19" s="298">
        <f>RELACIÓN!H19</f>
        <v>1308</v>
      </c>
      <c r="G19" s="299">
        <f>RELACIÓN!I19</f>
        <v>0</v>
      </c>
      <c r="H19" s="299">
        <f>RELACIÓN!J19</f>
        <v>0</v>
      </c>
      <c r="I19" s="298">
        <f>RELACIÓN!L19</f>
        <v>1308</v>
      </c>
      <c r="J19" s="300">
        <f>RELACIÓN!M19</f>
        <v>1788</v>
      </c>
      <c r="K19" s="301">
        <f>RELACIÓN!O19</f>
        <v>2403.2160000000003</v>
      </c>
      <c r="L19" s="301">
        <f>RELACIÓN!P19</f>
        <v>2500</v>
      </c>
      <c r="M19" s="302" t="str">
        <f>RELACIÓN!R19</f>
        <v>JOSE PAEZ</v>
      </c>
      <c r="N19" s="303">
        <f>RELACIÓN!S19</f>
        <v>200</v>
      </c>
      <c r="O19" s="304">
        <f>RELACIÓN!AA19</f>
        <v>143.04</v>
      </c>
      <c r="P19" s="305">
        <f>RELACIÓN!AB19</f>
        <v>14.880060718637024</v>
      </c>
      <c r="Q19" s="306">
        <f>RELACIÓN!AC19</f>
        <v>22.320091077955539</v>
      </c>
      <c r="R19" s="304" t="str">
        <f>RELACIÓN!AD19</f>
        <v/>
      </c>
      <c r="S19" s="304" t="str">
        <f>RELACIÓN!AE19</f>
        <v/>
      </c>
      <c r="T19" s="304" t="str">
        <f>RELACIÓN!AF19</f>
        <v/>
      </c>
      <c r="U19" s="306" t="str">
        <f>RELACIÓN!AG19</f>
        <v/>
      </c>
      <c r="V19" s="304">
        <f>RELACIÓN!AH19</f>
        <v>56.960000000000008</v>
      </c>
      <c r="W19" s="304">
        <f>RELACIÓN!AI19</f>
        <v>5.119939281362976</v>
      </c>
      <c r="X19" s="304">
        <f>RELACIÓN!AJ19</f>
        <v>7.6799089220444614</v>
      </c>
      <c r="Y19" s="304" t="str">
        <f>RELACIÓN!AK19</f>
        <v/>
      </c>
      <c r="Z19" s="304" t="str">
        <f>RELACIÓN!AL19</f>
        <v/>
      </c>
      <c r="AA19" s="304" t="str">
        <f>RELACIÓN!AM19</f>
        <v/>
      </c>
      <c r="AB19" s="304" t="str">
        <f>RELACIÓN!AN19</f>
        <v/>
      </c>
      <c r="AC19" s="304">
        <f>RELACIÓN!AO19</f>
        <v>0</v>
      </c>
      <c r="AD19" s="304">
        <f>RELACIÓN!AP19</f>
        <v>0</v>
      </c>
      <c r="AE19" s="304">
        <f>RELACIÓN!AQ19</f>
        <v>0</v>
      </c>
      <c r="AF19" s="304" t="str">
        <f>RELACIÓN!AR19</f>
        <v/>
      </c>
      <c r="AG19" s="304" t="str">
        <f>RELACIÓN!AS19</f>
        <v/>
      </c>
      <c r="AH19" s="304" t="str">
        <f>RELACIÓN!AT19</f>
        <v/>
      </c>
      <c r="AI19" s="304" t="str">
        <f>RELACIÓN!AU19</f>
        <v/>
      </c>
      <c r="AJ19" s="304">
        <f>RELACIÓN!AV19</f>
        <v>0.10402727012469955</v>
      </c>
      <c r="AK19" s="304">
        <f>RELACIÓN!AW19</f>
        <v>1</v>
      </c>
    </row>
    <row r="20" spans="1:37" ht="12" customHeight="1">
      <c r="A20" s="296" t="str">
        <f>IF(RELACIÓN!A20&lt;&gt;"",RELACIÓN!A20,"")</f>
        <v/>
      </c>
      <c r="B20" s="296" t="str">
        <f>IF(RELACIÓN!B20&lt;&gt;"",RELACIÓN!B20,"")</f>
        <v/>
      </c>
      <c r="C20" s="308" t="str">
        <f>IF(RELACIÓN!D20&lt;&gt;"",RELACIÓN!D20,"")</f>
        <v>DROGUERIA GRACITANA ( CHACAO)</v>
      </c>
      <c r="D20" s="308" t="str">
        <f>IF(RELACIÓN!E20&lt;&gt;"",RELACIÓN!E20,"")</f>
        <v>CARACAS</v>
      </c>
      <c r="E20" s="297">
        <f>IF(RELACIÓN!G20&lt;&gt;"",RELACIÓN!G20,"")</f>
        <v>45631</v>
      </c>
      <c r="F20" s="298">
        <f>RELACIÓN!H20</f>
        <v>0</v>
      </c>
      <c r="G20" s="299">
        <f>RELACIÓN!I20</f>
        <v>22</v>
      </c>
      <c r="H20" s="299">
        <f>RELACIÓN!J20</f>
        <v>48.455999999999996</v>
      </c>
      <c r="I20" s="298">
        <f>RELACIÓN!L20</f>
        <v>48.455999999999996</v>
      </c>
      <c r="J20" s="300">
        <f>RELACIÓN!M20</f>
        <v>0</v>
      </c>
      <c r="K20" s="301">
        <f>RELACIÓN!O20</f>
        <v>0</v>
      </c>
      <c r="L20" s="301">
        <f>RELACIÓN!P20</f>
        <v>0</v>
      </c>
      <c r="M20" s="302">
        <f>RELACIÓN!R20</f>
        <v>0</v>
      </c>
      <c r="N20" s="303" t="str">
        <f>RELACIÓN!S20</f>
        <v/>
      </c>
      <c r="O20" s="304" t="str">
        <f>RELACIÓN!AA20</f>
        <v/>
      </c>
      <c r="P20" s="305" t="str">
        <f>RELACIÓN!AB20</f>
        <v/>
      </c>
      <c r="Q20" s="306" t="str">
        <f>RELACIÓN!AC20</f>
        <v/>
      </c>
      <c r="R20" s="304" t="str">
        <f>RELACIÓN!AD20</f>
        <v/>
      </c>
      <c r="S20" s="304" t="str">
        <f>RELACIÓN!AE20</f>
        <v/>
      </c>
      <c r="T20" s="304" t="str">
        <f>RELACIÓN!AF20</f>
        <v/>
      </c>
      <c r="U20" s="306" t="str">
        <f>RELACIÓN!AG20</f>
        <v/>
      </c>
      <c r="V20" s="304" t="str">
        <f>RELACIÓN!AH20</f>
        <v/>
      </c>
      <c r="W20" s="304" t="str">
        <f>RELACIÓN!AI20</f>
        <v/>
      </c>
      <c r="X20" s="304" t="str">
        <f>RELACIÓN!AJ20</f>
        <v/>
      </c>
      <c r="Y20" s="304" t="str">
        <f>RELACIÓN!AK20</f>
        <v/>
      </c>
      <c r="Z20" s="304" t="str">
        <f>RELACIÓN!AL20</f>
        <v/>
      </c>
      <c r="AA20" s="304" t="str">
        <f>RELACIÓN!AM20</f>
        <v/>
      </c>
      <c r="AB20" s="304" t="str">
        <f>RELACIÓN!AN20</f>
        <v/>
      </c>
      <c r="AC20" s="304" t="str">
        <f>RELACIÓN!AO20</f>
        <v/>
      </c>
      <c r="AD20" s="304" t="str">
        <f>RELACIÓN!AP20</f>
        <v/>
      </c>
      <c r="AE20" s="304" t="str">
        <f>RELACIÓN!AQ20</f>
        <v/>
      </c>
      <c r="AF20" s="304" t="str">
        <f>RELACIÓN!AR20</f>
        <v/>
      </c>
      <c r="AG20" s="304" t="str">
        <f>RELACIÓN!AS20</f>
        <v/>
      </c>
      <c r="AH20" s="304" t="str">
        <f>RELACIÓN!AT20</f>
        <v/>
      </c>
      <c r="AI20" s="304" t="str">
        <f>RELACIÓN!AU20</f>
        <v/>
      </c>
      <c r="AJ20" s="304" t="str">
        <f>RELACIÓN!AV20</f>
        <v/>
      </c>
      <c r="AK20" s="304" t="str">
        <f>RELACIÓN!AW20</f>
        <v/>
      </c>
    </row>
    <row r="21" spans="1:37" ht="12" customHeight="1">
      <c r="A21" s="296" t="str">
        <f>IF(RELACIÓN!A21&lt;&gt;"",RELACIÓN!A21,"")</f>
        <v/>
      </c>
      <c r="B21" s="296" t="str">
        <f>IF(RELACIÓN!B21&lt;&gt;"",RELACIÓN!B21,"")</f>
        <v/>
      </c>
      <c r="C21" s="308" t="str">
        <f>IF(RELACIÓN!D21&lt;&gt;"",RELACIÓN!D21,"")</f>
        <v>IMPORTADORA DE ALIMENTOS BOLONIA C.</v>
      </c>
      <c r="D21" s="308" t="str">
        <f>IF(RELACIÓN!E21&lt;&gt;"",RELACIÓN!E21,"")</f>
        <v>CARACAS</v>
      </c>
      <c r="E21" s="297">
        <f>IF(RELACIÓN!G21&lt;&gt;"",RELACIÓN!G21,"")</f>
        <v>45631</v>
      </c>
      <c r="F21" s="298">
        <f>RELACIÓN!H21</f>
        <v>0</v>
      </c>
      <c r="G21" s="299">
        <f>RELACIÓN!I21</f>
        <v>13</v>
      </c>
      <c r="H21" s="299">
        <f>RELACIÓN!J21</f>
        <v>37.44</v>
      </c>
      <c r="I21" s="298">
        <f>RELACIÓN!L21</f>
        <v>37.44</v>
      </c>
      <c r="J21" s="300">
        <f>RELACIÓN!M21</f>
        <v>0</v>
      </c>
      <c r="K21" s="301">
        <f>RELACIÓN!O21</f>
        <v>0</v>
      </c>
      <c r="L21" s="301">
        <f>RELACIÓN!P21</f>
        <v>0</v>
      </c>
      <c r="M21" s="302">
        <f>RELACIÓN!R21</f>
        <v>0</v>
      </c>
      <c r="N21" s="303" t="str">
        <f>RELACIÓN!S21</f>
        <v/>
      </c>
      <c r="O21" s="304" t="str">
        <f>RELACIÓN!AA21</f>
        <v/>
      </c>
      <c r="P21" s="305" t="str">
        <f>RELACIÓN!AB21</f>
        <v/>
      </c>
      <c r="Q21" s="306" t="str">
        <f>RELACIÓN!AC21</f>
        <v/>
      </c>
      <c r="R21" s="304" t="str">
        <f>RELACIÓN!AD21</f>
        <v/>
      </c>
      <c r="S21" s="304" t="str">
        <f>RELACIÓN!AE21</f>
        <v/>
      </c>
      <c r="T21" s="304" t="str">
        <f>RELACIÓN!AF21</f>
        <v/>
      </c>
      <c r="U21" s="306" t="str">
        <f>RELACIÓN!AG21</f>
        <v/>
      </c>
      <c r="V21" s="304" t="str">
        <f>RELACIÓN!AH21</f>
        <v/>
      </c>
      <c r="W21" s="304" t="str">
        <f>RELACIÓN!AI21</f>
        <v/>
      </c>
      <c r="X21" s="304" t="str">
        <f>RELACIÓN!AJ21</f>
        <v/>
      </c>
      <c r="Y21" s="304" t="str">
        <f>RELACIÓN!AK21</f>
        <v/>
      </c>
      <c r="Z21" s="304" t="str">
        <f>RELACIÓN!AL21</f>
        <v/>
      </c>
      <c r="AA21" s="304" t="str">
        <f>RELACIÓN!AM21</f>
        <v/>
      </c>
      <c r="AB21" s="304" t="str">
        <f>RELACIÓN!AN21</f>
        <v/>
      </c>
      <c r="AC21" s="304" t="str">
        <f>RELACIÓN!AO21</f>
        <v/>
      </c>
      <c r="AD21" s="304" t="str">
        <f>RELACIÓN!AP21</f>
        <v/>
      </c>
      <c r="AE21" s="304" t="str">
        <f>RELACIÓN!AQ21</f>
        <v/>
      </c>
      <c r="AF21" s="304" t="str">
        <f>RELACIÓN!AR21</f>
        <v/>
      </c>
      <c r="AG21" s="304" t="str">
        <f>RELACIÓN!AS21</f>
        <v/>
      </c>
      <c r="AH21" s="304" t="str">
        <f>RELACIÓN!AT21</f>
        <v/>
      </c>
      <c r="AI21" s="304" t="str">
        <f>RELACIÓN!AU21</f>
        <v/>
      </c>
      <c r="AJ21" s="304" t="str">
        <f>RELACIÓN!AV21</f>
        <v/>
      </c>
      <c r="AK21" s="304" t="str">
        <f>RELACIÓN!AW21</f>
        <v/>
      </c>
    </row>
    <row r="22" spans="1:37" ht="12" customHeight="1">
      <c r="A22" s="296" t="str">
        <f>IF(RELACIÓN!A22&lt;&gt;"",RELACIÓN!A22,"")</f>
        <v/>
      </c>
      <c r="B22" s="296" t="str">
        <f>IF(RELACIÓN!B22&lt;&gt;"",RELACIÓN!B22,"")</f>
        <v/>
      </c>
      <c r="C22" s="308" t="str">
        <f>IF(RELACIÓN!D22&lt;&gt;"",RELACIÓN!D22,"")</f>
        <v>PLANSUAREZ ( LA URBINA)</v>
      </c>
      <c r="D22" s="308" t="str">
        <f>IF(RELACIÓN!E22&lt;&gt;"",RELACIÓN!E22,"")</f>
        <v>CARACAS</v>
      </c>
      <c r="E22" s="297">
        <f>IF(RELACIÓN!G22&lt;&gt;"",RELACIÓN!G22,"")</f>
        <v>45631</v>
      </c>
      <c r="F22" s="298">
        <f>RELACIÓN!H22</f>
        <v>0</v>
      </c>
      <c r="G22" s="299">
        <f>RELACIÓN!I22</f>
        <v>195</v>
      </c>
      <c r="H22" s="299">
        <f>RELACIÓN!J22</f>
        <v>488.40000000000003</v>
      </c>
      <c r="I22" s="298">
        <f>RELACIÓN!L22</f>
        <v>488.40000000000003</v>
      </c>
      <c r="J22" s="300">
        <f>RELACIÓN!M22</f>
        <v>0</v>
      </c>
      <c r="K22" s="301">
        <f>RELACIÓN!O22</f>
        <v>0</v>
      </c>
      <c r="L22" s="301">
        <f>RELACIÓN!P22</f>
        <v>0</v>
      </c>
      <c r="M22" s="302">
        <f>RELACIÓN!R22</f>
        <v>0</v>
      </c>
      <c r="N22" s="303" t="str">
        <f>RELACIÓN!S22</f>
        <v/>
      </c>
      <c r="O22" s="304" t="str">
        <f>RELACIÓN!AA22</f>
        <v/>
      </c>
      <c r="P22" s="305" t="str">
        <f>RELACIÓN!AB22</f>
        <v/>
      </c>
      <c r="Q22" s="306" t="str">
        <f>RELACIÓN!AC22</f>
        <v/>
      </c>
      <c r="R22" s="304" t="str">
        <f>RELACIÓN!AD22</f>
        <v/>
      </c>
      <c r="S22" s="304" t="str">
        <f>RELACIÓN!AE22</f>
        <v/>
      </c>
      <c r="T22" s="304" t="str">
        <f>RELACIÓN!AF22</f>
        <v/>
      </c>
      <c r="U22" s="306" t="str">
        <f>RELACIÓN!AG22</f>
        <v/>
      </c>
      <c r="V22" s="304" t="str">
        <f>RELACIÓN!AH22</f>
        <v/>
      </c>
      <c r="W22" s="304" t="str">
        <f>RELACIÓN!AI22</f>
        <v/>
      </c>
      <c r="X22" s="304" t="str">
        <f>RELACIÓN!AJ22</f>
        <v/>
      </c>
      <c r="Y22" s="304" t="str">
        <f>RELACIÓN!AK22</f>
        <v/>
      </c>
      <c r="Z22" s="304" t="str">
        <f>RELACIÓN!AL22</f>
        <v/>
      </c>
      <c r="AA22" s="304" t="str">
        <f>RELACIÓN!AM22</f>
        <v/>
      </c>
      <c r="AB22" s="304" t="str">
        <f>RELACIÓN!AN22</f>
        <v/>
      </c>
      <c r="AC22" s="304" t="str">
        <f>RELACIÓN!AO22</f>
        <v/>
      </c>
      <c r="AD22" s="304" t="str">
        <f>RELACIÓN!AP22</f>
        <v/>
      </c>
      <c r="AE22" s="304" t="str">
        <f>RELACIÓN!AQ22</f>
        <v/>
      </c>
      <c r="AF22" s="304" t="str">
        <f>RELACIÓN!AR22</f>
        <v/>
      </c>
      <c r="AG22" s="304" t="str">
        <f>RELACIÓN!AS22</f>
        <v/>
      </c>
      <c r="AH22" s="304" t="str">
        <f>RELACIÓN!AT22</f>
        <v/>
      </c>
      <c r="AI22" s="304" t="str">
        <f>RELACIÓN!AU22</f>
        <v/>
      </c>
      <c r="AJ22" s="304" t="str">
        <f>RELACIÓN!AV22</f>
        <v/>
      </c>
      <c r="AK22" s="304" t="str">
        <f>RELACIÓN!AW22</f>
        <v/>
      </c>
    </row>
    <row r="23" spans="1:37" ht="12" customHeight="1">
      <c r="A23" s="296" t="str">
        <f>IF(RELACIÓN!A23&lt;&gt;"",RELACIÓN!A23,"")</f>
        <v/>
      </c>
      <c r="B23" s="296" t="str">
        <f>IF(RELACIÓN!B23&lt;&gt;"",RELACIÓN!B23,"")</f>
        <v/>
      </c>
      <c r="C23" s="308" t="str">
        <f>IF(RELACIÓN!D23&lt;&gt;"",RELACIÓN!D23,"")</f>
        <v>SANU CORP C.A</v>
      </c>
      <c r="D23" s="308" t="str">
        <f>IF(RELACIÓN!E23&lt;&gt;"",RELACIÓN!E23,"")</f>
        <v>CARACAS</v>
      </c>
      <c r="E23" s="297">
        <f>IF(RELACIÓN!G23&lt;&gt;"",RELACIÓN!G23,"")</f>
        <v>45631</v>
      </c>
      <c r="F23" s="298">
        <f>RELACIÓN!H23</f>
        <v>480</v>
      </c>
      <c r="G23" s="299">
        <f>RELACIÓN!I23</f>
        <v>0</v>
      </c>
      <c r="H23" s="299">
        <f>RELACIÓN!J23</f>
        <v>0</v>
      </c>
      <c r="I23" s="298">
        <f>RELACIÓN!L23</f>
        <v>480</v>
      </c>
      <c r="J23" s="300">
        <f>RELACIÓN!M23</f>
        <v>0</v>
      </c>
      <c r="K23" s="301">
        <f>RELACIÓN!O23</f>
        <v>0</v>
      </c>
      <c r="L23" s="301">
        <f>RELACIÓN!P23</f>
        <v>0</v>
      </c>
      <c r="M23" s="302">
        <f>RELACIÓN!R23</f>
        <v>0</v>
      </c>
      <c r="N23" s="303" t="str">
        <f>RELACIÓN!S23</f>
        <v/>
      </c>
      <c r="O23" s="304" t="str">
        <f>RELACIÓN!AA23</f>
        <v/>
      </c>
      <c r="P23" s="305" t="str">
        <f>RELACIÓN!AB23</f>
        <v/>
      </c>
      <c r="Q23" s="306" t="str">
        <f>RELACIÓN!AC23</f>
        <v/>
      </c>
      <c r="R23" s="304" t="str">
        <f>RELACIÓN!AD23</f>
        <v/>
      </c>
      <c r="S23" s="304" t="str">
        <f>RELACIÓN!AE23</f>
        <v/>
      </c>
      <c r="T23" s="304" t="str">
        <f>RELACIÓN!AF23</f>
        <v/>
      </c>
      <c r="U23" s="306" t="str">
        <f>RELACIÓN!AG23</f>
        <v/>
      </c>
      <c r="V23" s="304" t="str">
        <f>RELACIÓN!AH23</f>
        <v/>
      </c>
      <c r="W23" s="304" t="str">
        <f>RELACIÓN!AI23</f>
        <v/>
      </c>
      <c r="X23" s="304" t="str">
        <f>RELACIÓN!AJ23</f>
        <v/>
      </c>
      <c r="Y23" s="304" t="str">
        <f>RELACIÓN!AK23</f>
        <v/>
      </c>
      <c r="Z23" s="304" t="str">
        <f>RELACIÓN!AL23</f>
        <v/>
      </c>
      <c r="AA23" s="304" t="str">
        <f>RELACIÓN!AM23</f>
        <v/>
      </c>
      <c r="AB23" s="304" t="str">
        <f>RELACIÓN!AN23</f>
        <v/>
      </c>
      <c r="AC23" s="304" t="str">
        <f>RELACIÓN!AO23</f>
        <v/>
      </c>
      <c r="AD23" s="304" t="str">
        <f>RELACIÓN!AP23</f>
        <v/>
      </c>
      <c r="AE23" s="304" t="str">
        <f>RELACIÓN!AQ23</f>
        <v/>
      </c>
      <c r="AF23" s="304" t="str">
        <f>RELACIÓN!AR23</f>
        <v/>
      </c>
      <c r="AG23" s="304" t="str">
        <f>RELACIÓN!AS23</f>
        <v/>
      </c>
      <c r="AH23" s="304" t="str">
        <f>RELACIÓN!AT23</f>
        <v/>
      </c>
      <c r="AI23" s="304" t="str">
        <f>RELACIÓN!AU23</f>
        <v/>
      </c>
      <c r="AJ23" s="304" t="str">
        <f>RELACIÓN!AV23</f>
        <v/>
      </c>
      <c r="AK23" s="304" t="str">
        <f>RELACIÓN!AW23</f>
        <v/>
      </c>
    </row>
    <row r="24" spans="1:37" ht="12" customHeight="1">
      <c r="A24" s="296" t="str">
        <f>IF(RELACIÓN!A24&lt;&gt;"",RELACIÓN!A24,"")</f>
        <v/>
      </c>
      <c r="B24" s="296" t="str">
        <f>IF(RELACIÓN!B24&lt;&gt;"",RELACIÓN!B24,"")</f>
        <v/>
      </c>
      <c r="C24" s="308" t="str">
        <f>IF(RELACIÓN!D24&lt;&gt;"",RELACIÓN!D24,"")</f>
        <v>TECNI MUNDO 21 C.A.</v>
      </c>
      <c r="D24" s="308" t="str">
        <f>IF(RELACIÓN!E24&lt;&gt;"",RELACIÓN!E24,"")</f>
        <v>CARACAS</v>
      </c>
      <c r="E24" s="297">
        <f>IF(RELACIÓN!G24&lt;&gt;"",RELACIÓN!G24,"")</f>
        <v>45631</v>
      </c>
      <c r="F24" s="298">
        <f>RELACIÓN!H24</f>
        <v>0</v>
      </c>
      <c r="G24" s="299">
        <f>RELACIÓN!I24</f>
        <v>17</v>
      </c>
      <c r="H24" s="299">
        <f>RELACIÓN!J24</f>
        <v>40.92</v>
      </c>
      <c r="I24" s="298">
        <f>RELACIÓN!L24</f>
        <v>40.92</v>
      </c>
      <c r="J24" s="300">
        <f>RELACIÓN!M24</f>
        <v>0</v>
      </c>
      <c r="K24" s="301">
        <f>RELACIÓN!O24</f>
        <v>0</v>
      </c>
      <c r="L24" s="301">
        <f>RELACIÓN!P24</f>
        <v>0</v>
      </c>
      <c r="M24" s="302">
        <f>RELACIÓN!R24</f>
        <v>0</v>
      </c>
      <c r="N24" s="303" t="str">
        <f>RELACIÓN!S24</f>
        <v/>
      </c>
      <c r="O24" s="304" t="str">
        <f>RELACIÓN!AA24</f>
        <v/>
      </c>
      <c r="P24" s="305" t="str">
        <f>RELACIÓN!AB24</f>
        <v/>
      </c>
      <c r="Q24" s="306" t="str">
        <f>RELACIÓN!AC24</f>
        <v/>
      </c>
      <c r="R24" s="304" t="str">
        <f>RELACIÓN!AD24</f>
        <v/>
      </c>
      <c r="S24" s="304" t="str">
        <f>RELACIÓN!AE24</f>
        <v/>
      </c>
      <c r="T24" s="304" t="str">
        <f>RELACIÓN!AF24</f>
        <v/>
      </c>
      <c r="U24" s="306" t="str">
        <f>RELACIÓN!AG24</f>
        <v/>
      </c>
      <c r="V24" s="304" t="str">
        <f>RELACIÓN!AH24</f>
        <v/>
      </c>
      <c r="W24" s="304" t="str">
        <f>RELACIÓN!AI24</f>
        <v/>
      </c>
      <c r="X24" s="304" t="str">
        <f>RELACIÓN!AJ24</f>
        <v/>
      </c>
      <c r="Y24" s="304" t="str">
        <f>RELACIÓN!AK24</f>
        <v/>
      </c>
      <c r="Z24" s="304" t="str">
        <f>RELACIÓN!AL24</f>
        <v/>
      </c>
      <c r="AA24" s="304" t="str">
        <f>RELACIÓN!AM24</f>
        <v/>
      </c>
      <c r="AB24" s="304" t="str">
        <f>RELACIÓN!AN24</f>
        <v/>
      </c>
      <c r="AC24" s="304" t="str">
        <f>RELACIÓN!AO24</f>
        <v/>
      </c>
      <c r="AD24" s="304" t="str">
        <f>RELACIÓN!AP24</f>
        <v/>
      </c>
      <c r="AE24" s="304" t="str">
        <f>RELACIÓN!AQ24</f>
        <v/>
      </c>
      <c r="AF24" s="304" t="str">
        <f>RELACIÓN!AR24</f>
        <v/>
      </c>
      <c r="AG24" s="304" t="str">
        <f>RELACIÓN!AS24</f>
        <v/>
      </c>
      <c r="AH24" s="304" t="str">
        <f>RELACIÓN!AT24</f>
        <v/>
      </c>
      <c r="AI24" s="304" t="str">
        <f>RELACIÓN!AU24</f>
        <v/>
      </c>
      <c r="AJ24" s="304" t="str">
        <f>RELACIÓN!AV24</f>
        <v/>
      </c>
      <c r="AK24" s="304" t="str">
        <f>RELACIÓN!AW24</f>
        <v/>
      </c>
    </row>
    <row r="25" spans="1:37" ht="12" customHeight="1">
      <c r="A25" s="296">
        <f>IF(RELACIÓN!A25&lt;&gt;"",RELACIÓN!A25,"")</f>
        <v>51116</v>
      </c>
      <c r="B25" s="296">
        <f>IF(RELACIÓN!B25&lt;&gt;"",RELACIÓN!B25,"")</f>
        <v>51117</v>
      </c>
      <c r="C25" s="308" t="str">
        <f>IF(RELACIÓN!D25&lt;&gt;"",RELACIÓN!D25,"")</f>
        <v>BOMBONERIA EUROPA I, C.A</v>
      </c>
      <c r="D25" s="308" t="str">
        <f>IF(RELACIÓN!E25&lt;&gt;"",RELACIÓN!E25,"")</f>
        <v>MARACAY</v>
      </c>
      <c r="E25" s="297">
        <f>IF(RELACIÓN!G25&lt;&gt;"",RELACIÓN!G25,"")</f>
        <v>45632</v>
      </c>
      <c r="F25" s="298">
        <f>RELACIÓN!H25</f>
        <v>0</v>
      </c>
      <c r="G25" s="299">
        <f>RELACIÓN!I25</f>
        <v>6</v>
      </c>
      <c r="H25" s="299">
        <f>RELACIÓN!J25</f>
        <v>11.148</v>
      </c>
      <c r="I25" s="298">
        <f>RELACIÓN!L25</f>
        <v>11.148</v>
      </c>
      <c r="J25" s="300">
        <f>RELACIÓN!M25</f>
        <v>1208.28</v>
      </c>
      <c r="K25" s="301">
        <f>RELACIÓN!O25</f>
        <v>1635.78</v>
      </c>
      <c r="L25" s="301">
        <f>RELACIÓN!P25</f>
        <v>2500</v>
      </c>
      <c r="M25" s="302" t="str">
        <f>RELACIÓN!R25</f>
        <v>MANUEL LARA</v>
      </c>
      <c r="N25" s="303">
        <f>RELACIÓN!S25</f>
        <v>84</v>
      </c>
      <c r="O25" s="304">
        <f>RELACIÓN!AA25</f>
        <v>40.598208</v>
      </c>
      <c r="P25" s="305">
        <f>RELACIÓN!AB25</f>
        <v>14.773135751751457</v>
      </c>
      <c r="Q25" s="306">
        <f>RELACIÓN!AC25</f>
        <v>22.159703627627184</v>
      </c>
      <c r="R25" s="304" t="str">
        <f>RELACIÓN!AD25</f>
        <v/>
      </c>
      <c r="S25" s="304" t="str">
        <f>RELACIÓN!AE25</f>
        <v/>
      </c>
      <c r="T25" s="304" t="str">
        <f>RELACIÓN!AF25</f>
        <v/>
      </c>
      <c r="U25" s="306" t="str">
        <f>RELACIÓN!AG25</f>
        <v/>
      </c>
      <c r="V25" s="304">
        <f>RELACIÓN!AH25</f>
        <v>43.401792</v>
      </c>
      <c r="W25" s="304">
        <f>RELACIÓN!AI25</f>
        <v>5.2268642482485426</v>
      </c>
      <c r="X25" s="304">
        <f>RELACIÓN!AJ25</f>
        <v>7.8402963723728156</v>
      </c>
      <c r="Y25" s="304" t="str">
        <f>RELACIÓN!AK25</f>
        <v/>
      </c>
      <c r="Z25" s="304" t="str">
        <f>RELACIÓN!AL25</f>
        <v/>
      </c>
      <c r="AA25" s="304" t="str">
        <f>RELACIÓN!AM25</f>
        <v/>
      </c>
      <c r="AB25" s="304" t="str">
        <f>RELACIÓN!AN25</f>
        <v/>
      </c>
      <c r="AC25" s="304">
        <f>RELACIÓN!AO25</f>
        <v>0</v>
      </c>
      <c r="AD25" s="304">
        <f>RELACIÓN!AP25</f>
        <v>0</v>
      </c>
      <c r="AE25" s="304">
        <f>RELACIÓN!AQ25</f>
        <v>0</v>
      </c>
      <c r="AF25" s="304" t="str">
        <f>RELACIÓN!AR25</f>
        <v/>
      </c>
      <c r="AG25" s="304" t="str">
        <f>RELACIÓN!AS25</f>
        <v/>
      </c>
      <c r="AH25" s="304" t="str">
        <f>RELACIÓN!AT25</f>
        <v/>
      </c>
      <c r="AI25" s="304" t="str">
        <f>RELACIÓN!AU25</f>
        <v/>
      </c>
      <c r="AJ25" s="304">
        <f>RELACIÓN!AV25</f>
        <v>8.1918106346819258E-2</v>
      </c>
      <c r="AK25" s="304">
        <f>RELACIÓN!AW25</f>
        <v>1</v>
      </c>
    </row>
    <row r="26" spans="1:37" ht="12" customHeight="1">
      <c r="A26" s="296" t="str">
        <f>IF(RELACIÓN!A26&lt;&gt;"",RELACIÓN!A26,"")</f>
        <v/>
      </c>
      <c r="B26" s="296" t="str">
        <f>IF(RELACIÓN!B26&lt;&gt;"",RELACIÓN!B26,"")</f>
        <v/>
      </c>
      <c r="C26" s="308" t="str">
        <f>IF(RELACIÓN!D26&lt;&gt;"",RELACIÓN!D26,"")</f>
        <v>CANDY GOLD, C.A</v>
      </c>
      <c r="D26" s="308" t="str">
        <f>IF(RELACIÓN!E26&lt;&gt;"",RELACIÓN!E26,"")</f>
        <v>MARACAY</v>
      </c>
      <c r="E26" s="297">
        <f>IF(RELACIÓN!G26&lt;&gt;"",RELACIÓN!G26,"")</f>
        <v>45632</v>
      </c>
      <c r="F26" s="298">
        <f>RELACIÓN!H26</f>
        <v>0</v>
      </c>
      <c r="G26" s="299">
        <f>RELACIÓN!I26</f>
        <v>36</v>
      </c>
      <c r="H26" s="299">
        <f>RELACIÓN!J26</f>
        <v>78.240000000000023</v>
      </c>
      <c r="I26" s="298">
        <f>RELACIÓN!L26</f>
        <v>78.240000000000023</v>
      </c>
      <c r="J26" s="300">
        <f>RELACIÓN!M26</f>
        <v>0</v>
      </c>
      <c r="K26" s="301">
        <f>RELACIÓN!O26</f>
        <v>0</v>
      </c>
      <c r="L26" s="301">
        <f>RELACIÓN!P26</f>
        <v>0</v>
      </c>
      <c r="M26" s="302">
        <f>RELACIÓN!R26</f>
        <v>0</v>
      </c>
      <c r="N26" s="303" t="str">
        <f>RELACIÓN!S26</f>
        <v/>
      </c>
      <c r="O26" s="304" t="str">
        <f>RELACIÓN!AA26</f>
        <v/>
      </c>
      <c r="P26" s="305" t="str">
        <f>RELACIÓN!AB26</f>
        <v/>
      </c>
      <c r="Q26" s="306" t="str">
        <f>RELACIÓN!AC26</f>
        <v/>
      </c>
      <c r="R26" s="304" t="str">
        <f>RELACIÓN!AD26</f>
        <v/>
      </c>
      <c r="S26" s="304" t="str">
        <f>RELACIÓN!AE26</f>
        <v/>
      </c>
      <c r="T26" s="304" t="str">
        <f>RELACIÓN!AF26</f>
        <v/>
      </c>
      <c r="U26" s="306" t="str">
        <f>RELACIÓN!AG26</f>
        <v/>
      </c>
      <c r="V26" s="304" t="str">
        <f>RELACIÓN!AH26</f>
        <v/>
      </c>
      <c r="W26" s="304" t="str">
        <f>RELACIÓN!AI26</f>
        <v/>
      </c>
      <c r="X26" s="304" t="str">
        <f>RELACIÓN!AJ26</f>
        <v/>
      </c>
      <c r="Y26" s="304" t="str">
        <f>RELACIÓN!AK26</f>
        <v/>
      </c>
      <c r="Z26" s="304" t="str">
        <f>RELACIÓN!AL26</f>
        <v/>
      </c>
      <c r="AA26" s="304" t="str">
        <f>RELACIÓN!AM26</f>
        <v/>
      </c>
      <c r="AB26" s="304" t="str">
        <f>RELACIÓN!AN26</f>
        <v/>
      </c>
      <c r="AC26" s="304" t="str">
        <f>RELACIÓN!AO26</f>
        <v/>
      </c>
      <c r="AD26" s="304" t="str">
        <f>RELACIÓN!AP26</f>
        <v/>
      </c>
      <c r="AE26" s="304" t="str">
        <f>RELACIÓN!AQ26</f>
        <v/>
      </c>
      <c r="AF26" s="304" t="str">
        <f>RELACIÓN!AR26</f>
        <v/>
      </c>
      <c r="AG26" s="304" t="str">
        <f>RELACIÓN!AS26</f>
        <v/>
      </c>
      <c r="AH26" s="304" t="str">
        <f>RELACIÓN!AT26</f>
        <v/>
      </c>
      <c r="AI26" s="304" t="str">
        <f>RELACIÓN!AU26</f>
        <v/>
      </c>
      <c r="AJ26" s="304" t="str">
        <f>RELACIÓN!AV26</f>
        <v/>
      </c>
      <c r="AK26" s="304" t="str">
        <f>RELACIÓN!AW26</f>
        <v/>
      </c>
    </row>
    <row r="27" spans="1:37" ht="12" customHeight="1">
      <c r="A27" s="296" t="str">
        <f>IF(RELACIÓN!A27&lt;&gt;"",RELACIÓN!A27,"")</f>
        <v/>
      </c>
      <c r="B27" s="296" t="str">
        <f>IF(RELACIÓN!B27&lt;&gt;"",RELACIÓN!B27,"")</f>
        <v/>
      </c>
      <c r="C27" s="308" t="str">
        <f>IF(RELACIÓN!D27&lt;&gt;"",RELACIÓN!D27,"")</f>
        <v>CATANIA HIPERMERCADO (MARACAY)</v>
      </c>
      <c r="D27" s="308" t="str">
        <f>IF(RELACIÓN!E27&lt;&gt;"",RELACIÓN!E27,"")</f>
        <v>MARACAY</v>
      </c>
      <c r="E27" s="297">
        <f>IF(RELACIÓN!G27&lt;&gt;"",RELACIÓN!G27,"")</f>
        <v>45632</v>
      </c>
      <c r="F27" s="298">
        <f>RELACIÓN!H27</f>
        <v>1208.28</v>
      </c>
      <c r="G27" s="299">
        <f>RELACIÓN!I27</f>
        <v>31</v>
      </c>
      <c r="H27" s="299">
        <f>RELACIÓN!J27</f>
        <v>78.312000000000012</v>
      </c>
      <c r="I27" s="298">
        <f>RELACIÓN!L27</f>
        <v>1286.5920000000001</v>
      </c>
      <c r="J27" s="300">
        <f>RELACIÓN!M27</f>
        <v>0</v>
      </c>
      <c r="K27" s="301">
        <f>RELACIÓN!O27</f>
        <v>0</v>
      </c>
      <c r="L27" s="301">
        <f>RELACIÓN!P27</f>
        <v>0</v>
      </c>
      <c r="M27" s="302">
        <f>RELACIÓN!R27</f>
        <v>0</v>
      </c>
      <c r="N27" s="303" t="str">
        <f>RELACIÓN!S27</f>
        <v/>
      </c>
      <c r="O27" s="304" t="str">
        <f>RELACIÓN!AA27</f>
        <v/>
      </c>
      <c r="P27" s="305" t="str">
        <f>RELACIÓN!AB27</f>
        <v/>
      </c>
      <c r="Q27" s="306" t="str">
        <f>RELACIÓN!AC27</f>
        <v/>
      </c>
      <c r="R27" s="304" t="str">
        <f>RELACIÓN!AD27</f>
        <v/>
      </c>
      <c r="S27" s="304" t="str">
        <f>RELACIÓN!AE27</f>
        <v/>
      </c>
      <c r="T27" s="304" t="str">
        <f>RELACIÓN!AF27</f>
        <v/>
      </c>
      <c r="U27" s="306" t="str">
        <f>RELACIÓN!AG27</f>
        <v/>
      </c>
      <c r="V27" s="304" t="str">
        <f>RELACIÓN!AH27</f>
        <v/>
      </c>
      <c r="W27" s="304" t="str">
        <f>RELACIÓN!AI27</f>
        <v/>
      </c>
      <c r="X27" s="304" t="str">
        <f>RELACIÓN!AJ27</f>
        <v/>
      </c>
      <c r="Y27" s="304" t="str">
        <f>RELACIÓN!AK27</f>
        <v/>
      </c>
      <c r="Z27" s="304" t="str">
        <f>RELACIÓN!AL27</f>
        <v/>
      </c>
      <c r="AA27" s="304" t="str">
        <f>RELACIÓN!AM27</f>
        <v/>
      </c>
      <c r="AB27" s="304" t="str">
        <f>RELACIÓN!AN27</f>
        <v/>
      </c>
      <c r="AC27" s="304" t="str">
        <f>RELACIÓN!AO27</f>
        <v/>
      </c>
      <c r="AD27" s="304" t="str">
        <f>RELACIÓN!AP27</f>
        <v/>
      </c>
      <c r="AE27" s="304" t="str">
        <f>RELACIÓN!AQ27</f>
        <v/>
      </c>
      <c r="AF27" s="304" t="str">
        <f>RELACIÓN!AR27</f>
        <v/>
      </c>
      <c r="AG27" s="304" t="str">
        <f>RELACIÓN!AS27</f>
        <v/>
      </c>
      <c r="AH27" s="304" t="str">
        <f>RELACIÓN!AT27</f>
        <v/>
      </c>
      <c r="AI27" s="304" t="str">
        <f>RELACIÓN!AU27</f>
        <v/>
      </c>
      <c r="AJ27" s="304" t="str">
        <f>RELACIÓN!AV27</f>
        <v/>
      </c>
      <c r="AK27" s="304" t="str">
        <f>RELACIÓN!AW27</f>
        <v/>
      </c>
    </row>
    <row r="28" spans="1:37" ht="12" customHeight="1">
      <c r="A28" s="296" t="str">
        <f>IF(RELACIÓN!A28&lt;&gt;"",RELACIÓN!A28,"")</f>
        <v/>
      </c>
      <c r="B28" s="296" t="str">
        <f>IF(RELACIÓN!B28&lt;&gt;"",RELACIÓN!B28,"")</f>
        <v/>
      </c>
      <c r="C28" s="308" t="str">
        <f>IF(RELACIÓN!D28&lt;&gt;"",RELACIÓN!D28,"")</f>
        <v>DISTRIBUIDORA LINA C.A.</v>
      </c>
      <c r="D28" s="308" t="str">
        <f>IF(RELACIÓN!E28&lt;&gt;"",RELACIÓN!E28,"")</f>
        <v>MARACAY</v>
      </c>
      <c r="E28" s="297">
        <f>IF(RELACIÓN!G28&lt;&gt;"",RELACIÓN!G28,"")</f>
        <v>45632</v>
      </c>
      <c r="F28" s="298">
        <f>RELACIÓN!H28</f>
        <v>0</v>
      </c>
      <c r="G28" s="299">
        <f>RELACIÓN!I28</f>
        <v>65</v>
      </c>
      <c r="H28" s="299">
        <f>RELACIÓN!J28</f>
        <v>141.84</v>
      </c>
      <c r="I28" s="298">
        <f>RELACIÓN!L28</f>
        <v>141.84</v>
      </c>
      <c r="J28" s="300">
        <f>RELACIÓN!M28</f>
        <v>0</v>
      </c>
      <c r="K28" s="301">
        <f>RELACIÓN!O28</f>
        <v>0</v>
      </c>
      <c r="L28" s="301">
        <f>RELACIÓN!P28</f>
        <v>0</v>
      </c>
      <c r="M28" s="302">
        <f>RELACIÓN!R28</f>
        <v>0</v>
      </c>
      <c r="N28" s="303" t="str">
        <f>RELACIÓN!S28</f>
        <v/>
      </c>
      <c r="O28" s="304" t="str">
        <f>RELACIÓN!AA28</f>
        <v/>
      </c>
      <c r="P28" s="305" t="str">
        <f>RELACIÓN!AB28</f>
        <v/>
      </c>
      <c r="Q28" s="306" t="str">
        <f>RELACIÓN!AC28</f>
        <v/>
      </c>
      <c r="R28" s="304" t="str">
        <f>RELACIÓN!AD28</f>
        <v/>
      </c>
      <c r="S28" s="304" t="str">
        <f>RELACIÓN!AE28</f>
        <v/>
      </c>
      <c r="T28" s="304" t="str">
        <f>RELACIÓN!AF28</f>
        <v/>
      </c>
      <c r="U28" s="306" t="str">
        <f>RELACIÓN!AG28</f>
        <v/>
      </c>
      <c r="V28" s="304" t="str">
        <f>RELACIÓN!AH28</f>
        <v/>
      </c>
      <c r="W28" s="304" t="str">
        <f>RELACIÓN!AI28</f>
        <v/>
      </c>
      <c r="X28" s="304" t="str">
        <f>RELACIÓN!AJ28</f>
        <v/>
      </c>
      <c r="Y28" s="304" t="str">
        <f>RELACIÓN!AK28</f>
        <v/>
      </c>
      <c r="Z28" s="304" t="str">
        <f>RELACIÓN!AL28</f>
        <v/>
      </c>
      <c r="AA28" s="304" t="str">
        <f>RELACIÓN!AM28</f>
        <v/>
      </c>
      <c r="AB28" s="304" t="str">
        <f>RELACIÓN!AN28</f>
        <v/>
      </c>
      <c r="AC28" s="304" t="str">
        <f>RELACIÓN!AO28</f>
        <v/>
      </c>
      <c r="AD28" s="304" t="str">
        <f>RELACIÓN!AP28</f>
        <v/>
      </c>
      <c r="AE28" s="304" t="str">
        <f>RELACIÓN!AQ28</f>
        <v/>
      </c>
      <c r="AF28" s="304" t="str">
        <f>RELACIÓN!AR28</f>
        <v/>
      </c>
      <c r="AG28" s="304" t="str">
        <f>RELACIÓN!AS28</f>
        <v/>
      </c>
      <c r="AH28" s="304" t="str">
        <f>RELACIÓN!AT28</f>
        <v/>
      </c>
      <c r="AI28" s="304" t="str">
        <f>RELACIÓN!AU28</f>
        <v/>
      </c>
      <c r="AJ28" s="304" t="str">
        <f>RELACIÓN!AV28</f>
        <v/>
      </c>
      <c r="AK28" s="304" t="str">
        <f>RELACIÓN!AW28</f>
        <v/>
      </c>
    </row>
    <row r="29" spans="1:37" ht="12" customHeight="1">
      <c r="A29" s="296" t="str">
        <f>IF(RELACIÓN!A29&lt;&gt;"",RELACIÓN!A29,"")</f>
        <v/>
      </c>
      <c r="B29" s="296" t="str">
        <f>IF(RELACIÓN!B29&lt;&gt;"",RELACIÓN!B29,"")</f>
        <v/>
      </c>
      <c r="C29" s="308" t="str">
        <f>IF(RELACIÓN!D29&lt;&gt;"",RELACIÓN!D29,"")</f>
        <v>LA MURALLA, C.A</v>
      </c>
      <c r="D29" s="308" t="str">
        <f>IF(RELACIÓN!E29&lt;&gt;"",RELACIÓN!E29,"")</f>
        <v>MARACAY</v>
      </c>
      <c r="E29" s="297">
        <f>IF(RELACIÓN!G29&lt;&gt;"",RELACIÓN!G29,"")</f>
        <v>45632</v>
      </c>
      <c r="F29" s="298">
        <f>RELACIÓN!H29</f>
        <v>0</v>
      </c>
      <c r="G29" s="299">
        <f>RELACIÓN!I29</f>
        <v>53</v>
      </c>
      <c r="H29" s="299">
        <f>RELACIÓN!J29</f>
        <v>112.92</v>
      </c>
      <c r="I29" s="298">
        <f>RELACIÓN!L29</f>
        <v>112.92</v>
      </c>
      <c r="J29" s="300">
        <f>RELACIÓN!M29</f>
        <v>0</v>
      </c>
      <c r="K29" s="301">
        <f>RELACIÓN!O29</f>
        <v>0</v>
      </c>
      <c r="L29" s="301">
        <f>RELACIÓN!P29</f>
        <v>0</v>
      </c>
      <c r="M29" s="302">
        <f>RELACIÓN!R29</f>
        <v>0</v>
      </c>
      <c r="N29" s="303" t="str">
        <f>RELACIÓN!S29</f>
        <v/>
      </c>
      <c r="O29" s="304" t="str">
        <f>RELACIÓN!AA29</f>
        <v/>
      </c>
      <c r="P29" s="305" t="str">
        <f>RELACIÓN!AB29</f>
        <v/>
      </c>
      <c r="Q29" s="306" t="str">
        <f>RELACIÓN!AC29</f>
        <v/>
      </c>
      <c r="R29" s="304" t="str">
        <f>RELACIÓN!AD29</f>
        <v/>
      </c>
      <c r="S29" s="304" t="str">
        <f>RELACIÓN!AE29</f>
        <v/>
      </c>
      <c r="T29" s="304" t="str">
        <f>RELACIÓN!AF29</f>
        <v/>
      </c>
      <c r="U29" s="306" t="str">
        <f>RELACIÓN!AG29</f>
        <v/>
      </c>
      <c r="V29" s="304" t="str">
        <f>RELACIÓN!AH29</f>
        <v/>
      </c>
      <c r="W29" s="304" t="str">
        <f>RELACIÓN!AI29</f>
        <v/>
      </c>
      <c r="X29" s="304" t="str">
        <f>RELACIÓN!AJ29</f>
        <v/>
      </c>
      <c r="Y29" s="304" t="str">
        <f>RELACIÓN!AK29</f>
        <v/>
      </c>
      <c r="Z29" s="304" t="str">
        <f>RELACIÓN!AL29</f>
        <v/>
      </c>
      <c r="AA29" s="304" t="str">
        <f>RELACIÓN!AM29</f>
        <v/>
      </c>
      <c r="AB29" s="304" t="str">
        <f>RELACIÓN!AN29</f>
        <v/>
      </c>
      <c r="AC29" s="304" t="str">
        <f>RELACIÓN!AO29</f>
        <v/>
      </c>
      <c r="AD29" s="304" t="str">
        <f>RELACIÓN!AP29</f>
        <v/>
      </c>
      <c r="AE29" s="304" t="str">
        <f>RELACIÓN!AQ29</f>
        <v/>
      </c>
      <c r="AF29" s="304" t="str">
        <f>RELACIÓN!AR29</f>
        <v/>
      </c>
      <c r="AG29" s="304" t="str">
        <f>RELACIÓN!AS29</f>
        <v/>
      </c>
      <c r="AH29" s="304" t="str">
        <f>RELACIÓN!AT29</f>
        <v/>
      </c>
      <c r="AI29" s="304" t="str">
        <f>RELACIÓN!AU29</f>
        <v/>
      </c>
      <c r="AJ29" s="304" t="str">
        <f>RELACIÓN!AV29</f>
        <v/>
      </c>
      <c r="AK29" s="304" t="str">
        <f>RELACIÓN!AW29</f>
        <v/>
      </c>
    </row>
    <row r="30" spans="1:37" ht="12" customHeight="1">
      <c r="A30" s="296" t="str">
        <f>IF(RELACIÓN!A30&lt;&gt;"",RELACIÓN!A30,"")</f>
        <v/>
      </c>
      <c r="B30" s="296" t="str">
        <f>IF(RELACIÓN!B30&lt;&gt;"",RELACIÓN!B30,"")</f>
        <v/>
      </c>
      <c r="C30" s="308" t="str">
        <f>IF(RELACIÓN!D30&lt;&gt;"",RELACIÓN!D30,"")</f>
        <v>SUMINISTROS FJS 47, C.A</v>
      </c>
      <c r="D30" s="308" t="str">
        <f>IF(RELACIÓN!E30&lt;&gt;"",RELACIÓN!E30,"")</f>
        <v>MARACAY</v>
      </c>
      <c r="E30" s="297">
        <f>IF(RELACIÓN!G30&lt;&gt;"",RELACIÓN!G30,"")</f>
        <v>45632</v>
      </c>
      <c r="F30" s="298">
        <f>RELACIÓN!H30</f>
        <v>0</v>
      </c>
      <c r="G30" s="299">
        <f>RELACIÓN!I30</f>
        <v>2</v>
      </c>
      <c r="H30" s="299">
        <f>RELACIÓN!J30</f>
        <v>5.04</v>
      </c>
      <c r="I30" s="298">
        <f>RELACIÓN!L30</f>
        <v>5.04</v>
      </c>
      <c r="J30" s="300">
        <f>RELACIÓN!M30</f>
        <v>0</v>
      </c>
      <c r="K30" s="301">
        <f>RELACIÓN!O30</f>
        <v>0</v>
      </c>
      <c r="L30" s="301">
        <f>RELACIÓN!P30</f>
        <v>0</v>
      </c>
      <c r="M30" s="302">
        <f>RELACIÓN!R30</f>
        <v>0</v>
      </c>
      <c r="N30" s="303" t="str">
        <f>RELACIÓN!S30</f>
        <v/>
      </c>
      <c r="O30" s="304" t="str">
        <f>RELACIÓN!AA30</f>
        <v/>
      </c>
      <c r="P30" s="305" t="str">
        <f>RELACIÓN!AB30</f>
        <v/>
      </c>
      <c r="Q30" s="306" t="str">
        <f>RELACIÓN!AC30</f>
        <v/>
      </c>
      <c r="R30" s="304" t="str">
        <f>RELACIÓN!AD30</f>
        <v/>
      </c>
      <c r="S30" s="304" t="str">
        <f>RELACIÓN!AE30</f>
        <v/>
      </c>
      <c r="T30" s="304" t="str">
        <f>RELACIÓN!AF30</f>
        <v/>
      </c>
      <c r="U30" s="306" t="str">
        <f>RELACIÓN!AG30</f>
        <v/>
      </c>
      <c r="V30" s="304" t="str">
        <f>RELACIÓN!AH30</f>
        <v/>
      </c>
      <c r="W30" s="304" t="str">
        <f>RELACIÓN!AI30</f>
        <v/>
      </c>
      <c r="X30" s="304" t="str">
        <f>RELACIÓN!AJ30</f>
        <v/>
      </c>
      <c r="Y30" s="304" t="str">
        <f>RELACIÓN!AK30</f>
        <v/>
      </c>
      <c r="Z30" s="304" t="str">
        <f>RELACIÓN!AL30</f>
        <v/>
      </c>
      <c r="AA30" s="304" t="str">
        <f>RELACIÓN!AM30</f>
        <v/>
      </c>
      <c r="AB30" s="304" t="str">
        <f>RELACIÓN!AN30</f>
        <v/>
      </c>
      <c r="AC30" s="304" t="str">
        <f>RELACIÓN!AO30</f>
        <v/>
      </c>
      <c r="AD30" s="304" t="str">
        <f>RELACIÓN!AP30</f>
        <v/>
      </c>
      <c r="AE30" s="304" t="str">
        <f>RELACIÓN!AQ30</f>
        <v/>
      </c>
      <c r="AF30" s="304" t="str">
        <f>RELACIÓN!AR30</f>
        <v/>
      </c>
      <c r="AG30" s="304" t="str">
        <f>RELACIÓN!AS30</f>
        <v/>
      </c>
      <c r="AH30" s="304" t="str">
        <f>RELACIÓN!AT30</f>
        <v/>
      </c>
      <c r="AI30" s="304" t="str">
        <f>RELACIÓN!AU30</f>
        <v/>
      </c>
      <c r="AJ30" s="304" t="str">
        <f>RELACIÓN!AV30</f>
        <v/>
      </c>
      <c r="AK30" s="304" t="str">
        <f>RELACIÓN!AW30</f>
        <v/>
      </c>
    </row>
    <row r="31" spans="1:37" ht="12" customHeight="1">
      <c r="A31" s="296" t="str">
        <f>IF(RELACIÓN!A31&lt;&gt;"",RELACIÓN!A31,"")</f>
        <v/>
      </c>
      <c r="B31" s="296" t="str">
        <f>IF(RELACIÓN!B31&lt;&gt;"",RELACIÓN!B31,"")</f>
        <v/>
      </c>
      <c r="C31" s="308" t="str">
        <f>IF(RELACIÓN!D31&lt;&gt;"",RELACIÓN!D31,"")</f>
        <v/>
      </c>
      <c r="D31" s="308" t="str">
        <f>IF(RELACIÓN!E31&lt;&gt;"",RELACIÓN!E31,"")</f>
        <v/>
      </c>
      <c r="E31" s="297" t="str">
        <f>IF(RELACIÓN!G31&lt;&gt;"",RELACIÓN!G31,"")</f>
        <v/>
      </c>
      <c r="F31" s="298">
        <f>RELACIÓN!H31</f>
        <v>0</v>
      </c>
      <c r="G31" s="299">
        <f>RELACIÓN!I31</f>
        <v>0</v>
      </c>
      <c r="H31" s="299">
        <f>RELACIÓN!J31</f>
        <v>0</v>
      </c>
      <c r="I31" s="298">
        <f>RELACIÓN!L31</f>
        <v>0</v>
      </c>
      <c r="J31" s="300">
        <f>RELACIÓN!M31</f>
        <v>0</v>
      </c>
      <c r="K31" s="301">
        <f>RELACIÓN!O31</f>
        <v>0</v>
      </c>
      <c r="L31" s="301">
        <f>RELACIÓN!P31</f>
        <v>0</v>
      </c>
      <c r="M31" s="302">
        <f>RELACIÓN!R31</f>
        <v>0</v>
      </c>
      <c r="N31" s="303" t="str">
        <f>RELACIÓN!S31</f>
        <v/>
      </c>
      <c r="O31" s="304" t="str">
        <f>RELACIÓN!AA31</f>
        <v/>
      </c>
      <c r="P31" s="305" t="str">
        <f>RELACIÓN!AB31</f>
        <v/>
      </c>
      <c r="Q31" s="306" t="str">
        <f>RELACIÓN!AC31</f>
        <v/>
      </c>
      <c r="R31" s="304" t="str">
        <f>RELACIÓN!AD31</f>
        <v/>
      </c>
      <c r="S31" s="304" t="str">
        <f>RELACIÓN!AE31</f>
        <v/>
      </c>
      <c r="T31" s="304" t="str">
        <f>RELACIÓN!AF31</f>
        <v/>
      </c>
      <c r="U31" s="306" t="str">
        <f>RELACIÓN!AG31</f>
        <v/>
      </c>
      <c r="V31" s="304" t="str">
        <f>RELACIÓN!AH31</f>
        <v/>
      </c>
      <c r="W31" s="304" t="str">
        <f>RELACIÓN!AI31</f>
        <v/>
      </c>
      <c r="X31" s="304" t="str">
        <f>RELACIÓN!AJ31</f>
        <v/>
      </c>
      <c r="Y31" s="304" t="str">
        <f>RELACIÓN!AK31</f>
        <v/>
      </c>
      <c r="Z31" s="304" t="str">
        <f>RELACIÓN!AL31</f>
        <v/>
      </c>
      <c r="AA31" s="304" t="str">
        <f>RELACIÓN!AM31</f>
        <v/>
      </c>
      <c r="AB31" s="304" t="str">
        <f>RELACIÓN!AN31</f>
        <v/>
      </c>
      <c r="AC31" s="304" t="str">
        <f>RELACIÓN!AO31</f>
        <v/>
      </c>
      <c r="AD31" s="304" t="str">
        <f>RELACIÓN!AP31</f>
        <v/>
      </c>
      <c r="AE31" s="304" t="str">
        <f>RELACIÓN!AQ31</f>
        <v/>
      </c>
      <c r="AF31" s="304" t="str">
        <f>RELACIÓN!AR31</f>
        <v/>
      </c>
      <c r="AG31" s="304" t="str">
        <f>RELACIÓN!AS31</f>
        <v/>
      </c>
      <c r="AH31" s="304" t="str">
        <f>RELACIÓN!AT31</f>
        <v/>
      </c>
      <c r="AI31" s="304" t="str">
        <f>RELACIÓN!AU31</f>
        <v/>
      </c>
      <c r="AJ31" s="304" t="str">
        <f>RELACIÓN!AV31</f>
        <v/>
      </c>
      <c r="AK31" s="304" t="str">
        <f>RELACIÓN!AW31</f>
        <v/>
      </c>
    </row>
    <row r="32" spans="1:37" ht="12" customHeight="1">
      <c r="A32" s="296" t="str">
        <f>IF(RELACIÓN!A32&lt;&gt;"",RELACIÓN!A32,"")</f>
        <v/>
      </c>
      <c r="B32" s="296" t="str">
        <f>IF(RELACIÓN!B32&lt;&gt;"",RELACIÓN!B32,"")</f>
        <v/>
      </c>
      <c r="C32" s="308" t="str">
        <f>IF(RELACIÓN!D32&lt;&gt;"",RELACIÓN!D32,"")</f>
        <v/>
      </c>
      <c r="D32" s="308" t="str">
        <f>IF(RELACIÓN!E32&lt;&gt;"",RELACIÓN!E32,"")</f>
        <v/>
      </c>
      <c r="E32" s="297" t="str">
        <f>IF(RELACIÓN!G32&lt;&gt;"",RELACIÓN!G32,"")</f>
        <v/>
      </c>
      <c r="F32" s="298">
        <f>RELACIÓN!H32</f>
        <v>0</v>
      </c>
      <c r="G32" s="299">
        <f>RELACIÓN!I32</f>
        <v>0</v>
      </c>
      <c r="H32" s="299">
        <f>RELACIÓN!J32</f>
        <v>0</v>
      </c>
      <c r="I32" s="298">
        <f>RELACIÓN!L32</f>
        <v>0</v>
      </c>
      <c r="J32" s="300">
        <f>RELACIÓN!M32</f>
        <v>0</v>
      </c>
      <c r="K32" s="301">
        <f>RELACIÓN!O32</f>
        <v>0</v>
      </c>
      <c r="L32" s="301">
        <f>RELACIÓN!P32</f>
        <v>0</v>
      </c>
      <c r="M32" s="302">
        <f>RELACIÓN!R32</f>
        <v>0</v>
      </c>
      <c r="N32" s="303" t="str">
        <f>RELACIÓN!S32</f>
        <v/>
      </c>
      <c r="O32" s="304" t="str">
        <f>RELACIÓN!AA32</f>
        <v/>
      </c>
      <c r="P32" s="305" t="str">
        <f>RELACIÓN!AB32</f>
        <v/>
      </c>
      <c r="Q32" s="306" t="str">
        <f>RELACIÓN!AC32</f>
        <v/>
      </c>
      <c r="R32" s="304" t="str">
        <f>RELACIÓN!AD32</f>
        <v/>
      </c>
      <c r="S32" s="304" t="str">
        <f>RELACIÓN!AE32</f>
        <v/>
      </c>
      <c r="T32" s="304" t="str">
        <f>RELACIÓN!AF32</f>
        <v/>
      </c>
      <c r="U32" s="306" t="str">
        <f>RELACIÓN!AG32</f>
        <v/>
      </c>
      <c r="V32" s="304" t="str">
        <f>RELACIÓN!AH32</f>
        <v/>
      </c>
      <c r="W32" s="304" t="str">
        <f>RELACIÓN!AI32</f>
        <v/>
      </c>
      <c r="X32" s="304" t="str">
        <f>RELACIÓN!AJ32</f>
        <v/>
      </c>
      <c r="Y32" s="304" t="str">
        <f>RELACIÓN!AK32</f>
        <v/>
      </c>
      <c r="Z32" s="304" t="str">
        <f>RELACIÓN!AL32</f>
        <v/>
      </c>
      <c r="AA32" s="304" t="str">
        <f>RELACIÓN!AM32</f>
        <v/>
      </c>
      <c r="AB32" s="304" t="str">
        <f>RELACIÓN!AN32</f>
        <v/>
      </c>
      <c r="AC32" s="304" t="str">
        <f>RELACIÓN!AO32</f>
        <v/>
      </c>
      <c r="AD32" s="304" t="str">
        <f>RELACIÓN!AP32</f>
        <v/>
      </c>
      <c r="AE32" s="304" t="str">
        <f>RELACIÓN!AQ32</f>
        <v/>
      </c>
      <c r="AF32" s="304" t="str">
        <f>RELACIÓN!AR32</f>
        <v/>
      </c>
      <c r="AG32" s="304" t="str">
        <f>RELACIÓN!AS32</f>
        <v/>
      </c>
      <c r="AH32" s="304" t="str">
        <f>RELACIÓN!AT32</f>
        <v/>
      </c>
      <c r="AI32" s="304" t="str">
        <f>RELACIÓN!AU32</f>
        <v/>
      </c>
      <c r="AJ32" s="304" t="str">
        <f>RELACIÓN!AV32</f>
        <v/>
      </c>
      <c r="AK32" s="304" t="str">
        <f>RELACIÓN!AW32</f>
        <v/>
      </c>
    </row>
    <row r="33" spans="1:39" ht="12" customHeight="1">
      <c r="A33" s="296" t="str">
        <f>IF(RELACIÓN!A33&lt;&gt;"",RELACIÓN!A33,"")</f>
        <v/>
      </c>
      <c r="B33" s="296" t="str">
        <f>IF(RELACIÓN!B33&lt;&gt;"",RELACIÓN!B33,"")</f>
        <v/>
      </c>
      <c r="C33" s="308" t="str">
        <f>IF(RELACIÓN!D33&lt;&gt;"",RELACIÓN!D33,"")</f>
        <v/>
      </c>
      <c r="D33" s="308" t="str">
        <f>IF(RELACIÓN!E33&lt;&gt;"",RELACIÓN!E33,"")</f>
        <v/>
      </c>
      <c r="E33" s="297" t="str">
        <f>IF(RELACIÓN!G33&lt;&gt;"",RELACIÓN!G33,"")</f>
        <v/>
      </c>
      <c r="F33" s="298">
        <f>RELACIÓN!H33</f>
        <v>0</v>
      </c>
      <c r="G33" s="299">
        <f>RELACIÓN!I33</f>
        <v>0</v>
      </c>
      <c r="H33" s="299">
        <f>RELACIÓN!J33</f>
        <v>0</v>
      </c>
      <c r="I33" s="298">
        <f>RELACIÓN!L33</f>
        <v>0</v>
      </c>
      <c r="J33" s="300">
        <f>RELACIÓN!M33</f>
        <v>0</v>
      </c>
      <c r="K33" s="301">
        <f>RELACIÓN!O33</f>
        <v>0</v>
      </c>
      <c r="L33" s="301">
        <f>RELACIÓN!P33</f>
        <v>0</v>
      </c>
      <c r="M33" s="302">
        <f>RELACIÓN!R33</f>
        <v>0</v>
      </c>
      <c r="N33" s="303" t="str">
        <f>RELACIÓN!S33</f>
        <v/>
      </c>
      <c r="O33" s="304" t="str">
        <f>RELACIÓN!AA33</f>
        <v/>
      </c>
      <c r="P33" s="305" t="str">
        <f>RELACIÓN!AB33</f>
        <v/>
      </c>
      <c r="Q33" s="306" t="str">
        <f>RELACIÓN!AC33</f>
        <v/>
      </c>
      <c r="R33" s="304" t="str">
        <f>RELACIÓN!AD33</f>
        <v/>
      </c>
      <c r="S33" s="304" t="str">
        <f>RELACIÓN!AE33</f>
        <v/>
      </c>
      <c r="T33" s="304" t="str">
        <f>RELACIÓN!AF33</f>
        <v/>
      </c>
      <c r="U33" s="306" t="str">
        <f>RELACIÓN!AG33</f>
        <v/>
      </c>
      <c r="V33" s="304" t="str">
        <f>RELACIÓN!AH33</f>
        <v/>
      </c>
      <c r="W33" s="304" t="str">
        <f>RELACIÓN!AI33</f>
        <v/>
      </c>
      <c r="X33" s="304" t="str">
        <f>RELACIÓN!AJ33</f>
        <v/>
      </c>
      <c r="Y33" s="304" t="str">
        <f>RELACIÓN!AK33</f>
        <v/>
      </c>
      <c r="Z33" s="304" t="str">
        <f>RELACIÓN!AL33</f>
        <v/>
      </c>
      <c r="AA33" s="304" t="str">
        <f>RELACIÓN!AM33</f>
        <v/>
      </c>
      <c r="AB33" s="304" t="str">
        <f>RELACIÓN!AN33</f>
        <v/>
      </c>
      <c r="AC33" s="304" t="str">
        <f>RELACIÓN!AO33</f>
        <v/>
      </c>
      <c r="AD33" s="304" t="str">
        <f>RELACIÓN!AP33</f>
        <v/>
      </c>
      <c r="AE33" s="304" t="str">
        <f>RELACIÓN!AQ33</f>
        <v/>
      </c>
      <c r="AF33" s="304" t="str">
        <f>RELACIÓN!AR33</f>
        <v/>
      </c>
      <c r="AG33" s="304" t="str">
        <f>RELACIÓN!AS33</f>
        <v/>
      </c>
      <c r="AH33" s="304" t="str">
        <f>RELACIÓN!AT33</f>
        <v/>
      </c>
      <c r="AI33" s="304" t="str">
        <f>RELACIÓN!AU33</f>
        <v/>
      </c>
      <c r="AJ33" s="304" t="str">
        <f>RELACIÓN!AV33</f>
        <v/>
      </c>
      <c r="AK33" s="304" t="str">
        <f>RELACIÓN!AW33</f>
        <v/>
      </c>
    </row>
    <row r="34" spans="1:39" ht="12" customHeight="1">
      <c r="A34" s="296" t="str">
        <f>IF(RELACIÓN!A34&lt;&gt;"",RELACIÓN!A34,"")</f>
        <v/>
      </c>
      <c r="B34" s="296" t="str">
        <f>IF(RELACIÓN!B34&lt;&gt;"",RELACIÓN!B34,"")</f>
        <v/>
      </c>
      <c r="C34" s="308" t="str">
        <f>IF(RELACIÓN!D34&lt;&gt;"",RELACIÓN!D34,"")</f>
        <v/>
      </c>
      <c r="D34" s="308" t="str">
        <f>IF(RELACIÓN!E34&lt;&gt;"",RELACIÓN!E34,"")</f>
        <v/>
      </c>
      <c r="E34" s="297" t="str">
        <f>IF(RELACIÓN!G34&lt;&gt;"",RELACIÓN!G34,"")</f>
        <v/>
      </c>
      <c r="F34" s="298">
        <f>RELACIÓN!H34</f>
        <v>0</v>
      </c>
      <c r="G34" s="299">
        <f>RELACIÓN!I34</f>
        <v>0</v>
      </c>
      <c r="H34" s="299">
        <f>RELACIÓN!J34</f>
        <v>0</v>
      </c>
      <c r="I34" s="298">
        <f>RELACIÓN!L34</f>
        <v>0</v>
      </c>
      <c r="J34" s="300">
        <f>RELACIÓN!M34</f>
        <v>0</v>
      </c>
      <c r="K34" s="301">
        <f>RELACIÓN!O34</f>
        <v>0</v>
      </c>
      <c r="L34" s="301">
        <f>RELACIÓN!P34</f>
        <v>0</v>
      </c>
      <c r="M34" s="302">
        <f>RELACIÓN!R34</f>
        <v>0</v>
      </c>
      <c r="N34" s="303" t="str">
        <f>RELACIÓN!S34</f>
        <v/>
      </c>
      <c r="O34" s="304" t="str">
        <f>RELACIÓN!AA34</f>
        <v/>
      </c>
      <c r="P34" s="305" t="str">
        <f>RELACIÓN!AB34</f>
        <v/>
      </c>
      <c r="Q34" s="306" t="str">
        <f>RELACIÓN!AC34</f>
        <v/>
      </c>
      <c r="R34" s="304" t="str">
        <f>RELACIÓN!AD34</f>
        <v/>
      </c>
      <c r="S34" s="304" t="str">
        <f>RELACIÓN!AE34</f>
        <v/>
      </c>
      <c r="T34" s="304" t="str">
        <f>RELACIÓN!AF34</f>
        <v/>
      </c>
      <c r="U34" s="306" t="str">
        <f>RELACIÓN!AG34</f>
        <v/>
      </c>
      <c r="V34" s="304" t="str">
        <f>RELACIÓN!AH34</f>
        <v/>
      </c>
      <c r="W34" s="304" t="str">
        <f>RELACIÓN!AI34</f>
        <v/>
      </c>
      <c r="X34" s="304" t="str">
        <f>RELACIÓN!AJ34</f>
        <v/>
      </c>
      <c r="Y34" s="304" t="str">
        <f>RELACIÓN!AK34</f>
        <v/>
      </c>
      <c r="Z34" s="304" t="str">
        <f>RELACIÓN!AL34</f>
        <v/>
      </c>
      <c r="AA34" s="304" t="str">
        <f>RELACIÓN!AM34</f>
        <v/>
      </c>
      <c r="AB34" s="304" t="str">
        <f>RELACIÓN!AN34</f>
        <v/>
      </c>
      <c r="AC34" s="304" t="str">
        <f>RELACIÓN!AO34</f>
        <v/>
      </c>
      <c r="AD34" s="304" t="str">
        <f>RELACIÓN!AP34</f>
        <v/>
      </c>
      <c r="AE34" s="304" t="str">
        <f>RELACIÓN!AQ34</f>
        <v/>
      </c>
      <c r="AF34" s="304" t="str">
        <f>RELACIÓN!AR34</f>
        <v/>
      </c>
      <c r="AG34" s="304" t="str">
        <f>RELACIÓN!AS34</f>
        <v/>
      </c>
      <c r="AH34" s="304" t="str">
        <f>RELACIÓN!AT34</f>
        <v/>
      </c>
      <c r="AI34" s="304" t="str">
        <f>RELACIÓN!AU34</f>
        <v/>
      </c>
      <c r="AJ34" s="304" t="str">
        <f>RELACIÓN!AV34</f>
        <v/>
      </c>
      <c r="AK34" s="304" t="str">
        <f>RELACIÓN!AW34</f>
        <v/>
      </c>
    </row>
    <row r="35" spans="1:39" ht="12" customHeight="1">
      <c r="A35" s="296" t="str">
        <f>IF(RELACIÓN!A35&lt;&gt;"",RELACIÓN!A35,"")</f>
        <v/>
      </c>
      <c r="B35" s="296" t="str">
        <f>IF(RELACIÓN!B35&lt;&gt;"",RELACIÓN!B35,"")</f>
        <v/>
      </c>
      <c r="C35" s="308" t="str">
        <f>IF(RELACIÓN!D35&lt;&gt;"",RELACIÓN!D35,"")</f>
        <v/>
      </c>
      <c r="D35" s="308" t="str">
        <f>IF(RELACIÓN!E35&lt;&gt;"",RELACIÓN!E35,"")</f>
        <v/>
      </c>
      <c r="E35" s="297" t="str">
        <f>IF(RELACIÓN!G35&lt;&gt;"",RELACIÓN!G35,"")</f>
        <v/>
      </c>
      <c r="F35" s="298">
        <f>RELACIÓN!H35</f>
        <v>0</v>
      </c>
      <c r="G35" s="299">
        <f>RELACIÓN!I35</f>
        <v>0</v>
      </c>
      <c r="H35" s="299">
        <f>RELACIÓN!J35</f>
        <v>0</v>
      </c>
      <c r="I35" s="298">
        <f>RELACIÓN!L35</f>
        <v>0</v>
      </c>
      <c r="J35" s="300">
        <f>RELACIÓN!M35</f>
        <v>0</v>
      </c>
      <c r="K35" s="301">
        <f>RELACIÓN!O35</f>
        <v>0</v>
      </c>
      <c r="L35" s="301">
        <f>RELACIÓN!P35</f>
        <v>0</v>
      </c>
      <c r="M35" s="302">
        <f>RELACIÓN!R35</f>
        <v>0</v>
      </c>
      <c r="N35" s="303" t="str">
        <f>RELACIÓN!S35</f>
        <v/>
      </c>
      <c r="O35" s="304" t="str">
        <f>RELACIÓN!AA35</f>
        <v/>
      </c>
      <c r="P35" s="305" t="str">
        <f>RELACIÓN!AB35</f>
        <v/>
      </c>
      <c r="Q35" s="306" t="str">
        <f>RELACIÓN!AC35</f>
        <v/>
      </c>
      <c r="R35" s="304" t="str">
        <f>RELACIÓN!AD35</f>
        <v/>
      </c>
      <c r="S35" s="304" t="str">
        <f>RELACIÓN!AE35</f>
        <v/>
      </c>
      <c r="T35" s="304" t="str">
        <f>RELACIÓN!AF35</f>
        <v/>
      </c>
      <c r="U35" s="306" t="str">
        <f>RELACIÓN!AG35</f>
        <v/>
      </c>
      <c r="V35" s="304" t="str">
        <f>RELACIÓN!AH35</f>
        <v/>
      </c>
      <c r="W35" s="304" t="str">
        <f>RELACIÓN!AI35</f>
        <v/>
      </c>
      <c r="X35" s="304" t="str">
        <f>RELACIÓN!AJ35</f>
        <v/>
      </c>
      <c r="Y35" s="304" t="str">
        <f>RELACIÓN!AK35</f>
        <v/>
      </c>
      <c r="Z35" s="304" t="str">
        <f>RELACIÓN!AL35</f>
        <v/>
      </c>
      <c r="AA35" s="304" t="str">
        <f>RELACIÓN!AM35</f>
        <v/>
      </c>
      <c r="AB35" s="304" t="str">
        <f>RELACIÓN!AN35</f>
        <v/>
      </c>
      <c r="AC35" s="304" t="str">
        <f>RELACIÓN!AO35</f>
        <v/>
      </c>
      <c r="AD35" s="304" t="str">
        <f>RELACIÓN!AP35</f>
        <v/>
      </c>
      <c r="AE35" s="304" t="str">
        <f>RELACIÓN!AQ35</f>
        <v/>
      </c>
      <c r="AF35" s="304" t="str">
        <f>RELACIÓN!AR35</f>
        <v/>
      </c>
      <c r="AG35" s="304" t="str">
        <f>RELACIÓN!AS35</f>
        <v/>
      </c>
      <c r="AH35" s="304" t="str">
        <f>RELACIÓN!AT35</f>
        <v/>
      </c>
      <c r="AI35" s="304" t="str">
        <f>RELACIÓN!AU35</f>
        <v/>
      </c>
      <c r="AJ35" s="304" t="str">
        <f>RELACIÓN!AV35</f>
        <v/>
      </c>
      <c r="AK35" s="304" t="str">
        <f>RELACIÓN!AW35</f>
        <v/>
      </c>
    </row>
    <row r="36" spans="1:39" ht="12" customHeight="1">
      <c r="A36" s="296" t="e">
        <f>IF(RELACIÓN!#REF!&lt;&gt;"",RELACIÓN!#REF!,"")</f>
        <v>#REF!</v>
      </c>
      <c r="B36" s="296" t="e">
        <f>IF(RELACIÓN!#REF!&lt;&gt;"",RELACIÓN!#REF!,"")</f>
        <v>#REF!</v>
      </c>
      <c r="C36" s="308" t="e">
        <f>IF(RELACIÓN!#REF!&lt;&gt;"",RELACIÓN!#REF!,"")</f>
        <v>#REF!</v>
      </c>
      <c r="D36" s="308" t="e">
        <f>IF(RELACIÓN!#REF!&lt;&gt;"",RELACIÓN!#REF!,"")</f>
        <v>#REF!</v>
      </c>
      <c r="E36" s="297" t="e">
        <f>IF(RELACIÓN!#REF!&lt;&gt;"",RELACIÓN!#REF!,"")</f>
        <v>#REF!</v>
      </c>
      <c r="F36" s="298" t="e">
        <f>RELACIÓN!#REF!</f>
        <v>#REF!</v>
      </c>
      <c r="G36" s="299" t="e">
        <f>RELACIÓN!#REF!</f>
        <v>#REF!</v>
      </c>
      <c r="H36" s="299" t="e">
        <f>RELACIÓN!#REF!</f>
        <v>#REF!</v>
      </c>
      <c r="I36" s="298" t="e">
        <f>RELACIÓN!#REF!</f>
        <v>#REF!</v>
      </c>
      <c r="J36" s="300" t="e">
        <f>RELACIÓN!#REF!</f>
        <v>#REF!</v>
      </c>
      <c r="K36" s="301" t="e">
        <f>RELACIÓN!#REF!</f>
        <v>#REF!</v>
      </c>
      <c r="L36" s="301" t="e">
        <f>RELACIÓN!#REF!</f>
        <v>#REF!</v>
      </c>
      <c r="M36" s="302" t="e">
        <f>RELACIÓN!#REF!</f>
        <v>#REF!</v>
      </c>
      <c r="N36" s="303" t="e">
        <f>RELACIÓN!#REF!</f>
        <v>#REF!</v>
      </c>
      <c r="O36" s="304" t="e">
        <f>RELACIÓN!#REF!</f>
        <v>#REF!</v>
      </c>
      <c r="P36" s="305" t="e">
        <f>RELACIÓN!#REF!</f>
        <v>#REF!</v>
      </c>
      <c r="Q36" s="306" t="e">
        <f>RELACIÓN!#REF!</f>
        <v>#REF!</v>
      </c>
      <c r="R36" s="304" t="e">
        <f>RELACIÓN!#REF!</f>
        <v>#REF!</v>
      </c>
      <c r="S36" s="304" t="e">
        <f>RELACIÓN!#REF!</f>
        <v>#REF!</v>
      </c>
      <c r="T36" s="304" t="e">
        <f>RELACIÓN!#REF!</f>
        <v>#REF!</v>
      </c>
      <c r="U36" s="306" t="e">
        <f>RELACIÓN!#REF!</f>
        <v>#REF!</v>
      </c>
      <c r="V36" s="304" t="e">
        <f>RELACIÓN!#REF!</f>
        <v>#REF!</v>
      </c>
      <c r="W36" s="304" t="e">
        <f>RELACIÓN!#REF!</f>
        <v>#REF!</v>
      </c>
      <c r="X36" s="304" t="e">
        <f>RELACIÓN!#REF!</f>
        <v>#REF!</v>
      </c>
      <c r="Y36" s="304" t="e">
        <f>RELACIÓN!#REF!</f>
        <v>#REF!</v>
      </c>
      <c r="Z36" s="304" t="e">
        <f>RELACIÓN!#REF!</f>
        <v>#REF!</v>
      </c>
      <c r="AA36" s="304" t="e">
        <f>RELACIÓN!#REF!</f>
        <v>#REF!</v>
      </c>
      <c r="AB36" s="304" t="e">
        <f>RELACIÓN!#REF!</f>
        <v>#REF!</v>
      </c>
      <c r="AC36" s="304" t="e">
        <f>RELACIÓN!#REF!</f>
        <v>#REF!</v>
      </c>
      <c r="AD36" s="304" t="e">
        <f>RELACIÓN!#REF!</f>
        <v>#REF!</v>
      </c>
      <c r="AE36" s="304" t="e">
        <f>RELACIÓN!#REF!</f>
        <v>#REF!</v>
      </c>
      <c r="AF36" s="304" t="e">
        <f>RELACIÓN!#REF!</f>
        <v>#REF!</v>
      </c>
      <c r="AG36" s="304" t="e">
        <f>RELACIÓN!#REF!</f>
        <v>#REF!</v>
      </c>
      <c r="AH36" s="304" t="e">
        <f>RELACIÓN!#REF!</f>
        <v>#REF!</v>
      </c>
      <c r="AI36" s="304" t="e">
        <f>RELACIÓN!#REF!</f>
        <v>#REF!</v>
      </c>
      <c r="AJ36" s="304" t="e">
        <f>RELACIÓN!#REF!</f>
        <v>#REF!</v>
      </c>
      <c r="AK36" s="304" t="e">
        <f>RELACIÓN!#REF!</f>
        <v>#REF!</v>
      </c>
    </row>
    <row r="37" spans="1:39" ht="12" customHeight="1">
      <c r="A37" s="296" t="e">
        <f>IF(RELACIÓN!#REF!&lt;&gt;"",RELACIÓN!#REF!,"")</f>
        <v>#REF!</v>
      </c>
      <c r="B37" s="296" t="e">
        <f>IF(RELACIÓN!#REF!&lt;&gt;"",RELACIÓN!#REF!,"")</f>
        <v>#REF!</v>
      </c>
      <c r="C37" s="308" t="e">
        <f>IF(RELACIÓN!#REF!&lt;&gt;"",RELACIÓN!#REF!,"")</f>
        <v>#REF!</v>
      </c>
      <c r="D37" s="308" t="e">
        <f>IF(RELACIÓN!#REF!&lt;&gt;"",RELACIÓN!#REF!,"")</f>
        <v>#REF!</v>
      </c>
      <c r="E37" s="297" t="e">
        <f>IF(RELACIÓN!#REF!&lt;&gt;"",RELACIÓN!#REF!,"")</f>
        <v>#REF!</v>
      </c>
      <c r="F37" s="298" t="e">
        <f>RELACIÓN!#REF!</f>
        <v>#REF!</v>
      </c>
      <c r="G37" s="299" t="e">
        <f>RELACIÓN!#REF!</f>
        <v>#REF!</v>
      </c>
      <c r="H37" s="299" t="e">
        <f>RELACIÓN!#REF!</f>
        <v>#REF!</v>
      </c>
      <c r="I37" s="298" t="e">
        <f>RELACIÓN!#REF!</f>
        <v>#REF!</v>
      </c>
      <c r="J37" s="300" t="e">
        <f>RELACIÓN!#REF!</f>
        <v>#REF!</v>
      </c>
      <c r="K37" s="301" t="e">
        <f>RELACIÓN!#REF!</f>
        <v>#REF!</v>
      </c>
      <c r="L37" s="301" t="e">
        <f>RELACIÓN!#REF!</f>
        <v>#REF!</v>
      </c>
      <c r="M37" s="302" t="e">
        <f>RELACIÓN!#REF!</f>
        <v>#REF!</v>
      </c>
      <c r="N37" s="303" t="e">
        <f>RELACIÓN!#REF!</f>
        <v>#REF!</v>
      </c>
      <c r="O37" s="304" t="e">
        <f>RELACIÓN!#REF!</f>
        <v>#REF!</v>
      </c>
      <c r="P37" s="305" t="e">
        <f>RELACIÓN!#REF!</f>
        <v>#REF!</v>
      </c>
      <c r="Q37" s="306" t="e">
        <f>RELACIÓN!#REF!</f>
        <v>#REF!</v>
      </c>
      <c r="R37" s="304" t="e">
        <f>RELACIÓN!#REF!</f>
        <v>#REF!</v>
      </c>
      <c r="S37" s="304" t="e">
        <f>RELACIÓN!#REF!</f>
        <v>#REF!</v>
      </c>
      <c r="T37" s="304" t="e">
        <f>RELACIÓN!#REF!</f>
        <v>#REF!</v>
      </c>
      <c r="U37" s="306" t="e">
        <f>RELACIÓN!#REF!</f>
        <v>#REF!</v>
      </c>
      <c r="V37" s="304" t="e">
        <f>RELACIÓN!#REF!</f>
        <v>#REF!</v>
      </c>
      <c r="W37" s="304" t="e">
        <f>RELACIÓN!#REF!</f>
        <v>#REF!</v>
      </c>
      <c r="X37" s="304" t="e">
        <f>RELACIÓN!#REF!</f>
        <v>#REF!</v>
      </c>
      <c r="Y37" s="304" t="e">
        <f>RELACIÓN!#REF!</f>
        <v>#REF!</v>
      </c>
      <c r="Z37" s="304" t="e">
        <f>RELACIÓN!#REF!</f>
        <v>#REF!</v>
      </c>
      <c r="AA37" s="304" t="e">
        <f>RELACIÓN!#REF!</f>
        <v>#REF!</v>
      </c>
      <c r="AB37" s="304" t="e">
        <f>RELACIÓN!#REF!</f>
        <v>#REF!</v>
      </c>
      <c r="AC37" s="304" t="e">
        <f>RELACIÓN!#REF!</f>
        <v>#REF!</v>
      </c>
      <c r="AD37" s="304" t="e">
        <f>RELACIÓN!#REF!</f>
        <v>#REF!</v>
      </c>
      <c r="AE37" s="304" t="e">
        <f>RELACIÓN!#REF!</f>
        <v>#REF!</v>
      </c>
      <c r="AF37" s="304" t="e">
        <f>RELACIÓN!#REF!</f>
        <v>#REF!</v>
      </c>
      <c r="AG37" s="304" t="e">
        <f>RELACIÓN!#REF!</f>
        <v>#REF!</v>
      </c>
      <c r="AH37" s="304" t="e">
        <f>RELACIÓN!#REF!</f>
        <v>#REF!</v>
      </c>
      <c r="AI37" s="304" t="e">
        <f>RELACIÓN!#REF!</f>
        <v>#REF!</v>
      </c>
      <c r="AJ37" s="304" t="e">
        <f>RELACIÓN!#REF!</f>
        <v>#REF!</v>
      </c>
      <c r="AK37" s="304" t="e">
        <f>RELACIÓN!#REF!</f>
        <v>#REF!</v>
      </c>
    </row>
    <row r="38" spans="1:39" s="316" customFormat="1" ht="12" thickBot="1">
      <c r="A38" s="311" t="str">
        <f>IF(RELACIÓN!A46&lt;&gt;"",RELACIÓN!A46,"")</f>
        <v/>
      </c>
      <c r="B38" s="311" t="str">
        <f>IF(RELACIÓN!B46&lt;&gt;"",RELACIÓN!B46,"")</f>
        <v/>
      </c>
      <c r="C38" s="311" t="str">
        <f>IF(RELACIÓN!D46&lt;&gt;"",RELACIÓN!D46,"")</f>
        <v/>
      </c>
      <c r="D38" s="311" t="str">
        <f>IF(RELACIÓN!E46&lt;&gt;"",RELACIÓN!E46,"")</f>
        <v/>
      </c>
      <c r="E38" s="311" t="str">
        <f>IF(RELACIÓN!F46&lt;&gt;"",RELACIÓN!F46,"")</f>
        <v/>
      </c>
      <c r="F38" s="311" t="str">
        <f>IF(RELACIÓN!G46&lt;&gt;"",RELACIÓN!G46,"")</f>
        <v/>
      </c>
      <c r="G38" s="311">
        <f>IF(RELACIÓN!H46&lt;&gt;"",RELACIÓN!H46,"")</f>
        <v>42238.295999999988</v>
      </c>
      <c r="H38" s="311">
        <f>IF(RELACIÓN!I46&lt;&gt;"",RELACIÓN!I46,"")</f>
        <v>42238.295999999988</v>
      </c>
      <c r="I38" s="311">
        <f>IF(RELACIÓN!J46&lt;&gt;"",RELACIÓN!J46,"")</f>
        <v>42238.295999999988</v>
      </c>
      <c r="J38" s="311">
        <f>IF(RELACIÓN!L46&lt;&gt;"",RELACIÓN!L46,"")</f>
        <v>42238.295999999988</v>
      </c>
      <c r="K38" s="312"/>
      <c r="L38" s="312"/>
      <c r="M38" s="311"/>
      <c r="N38" s="311" t="str">
        <f>RELACIÓN!S46</f>
        <v>TOTAL</v>
      </c>
      <c r="O38" s="311">
        <f>RELACIÓN!AA46</f>
        <v>1513.47</v>
      </c>
      <c r="P38" s="313">
        <f>RELACIÓN!AB46</f>
        <v>166.26</v>
      </c>
      <c r="Q38" s="313">
        <f>RELACIÓN!AC46</f>
        <v>143.34</v>
      </c>
      <c r="R38" s="314">
        <f>RELACIÓN!AD46</f>
        <v>55.23</v>
      </c>
      <c r="S38" s="314">
        <f>RELACIÓN!AE46</f>
        <v>0</v>
      </c>
      <c r="T38" s="314">
        <f>RELACIÓN!AF46</f>
        <v>0</v>
      </c>
      <c r="U38" s="314">
        <f>RELACIÓN!AG46</f>
        <v>0</v>
      </c>
      <c r="V38" s="314">
        <f>RELACIÓN!AH46</f>
        <v>286.73</v>
      </c>
      <c r="W38" s="315">
        <f>RELACIÓN!AI46</f>
        <v>21.85</v>
      </c>
      <c r="X38" s="313">
        <f>RELACIÓN!AJ46</f>
        <v>25.86</v>
      </c>
      <c r="Y38" s="313">
        <f>RELACIÓN!AK46</f>
        <v>5.97</v>
      </c>
      <c r="Z38" s="313">
        <f>RELACIÓN!AL46</f>
        <v>0</v>
      </c>
      <c r="AA38" s="313">
        <f>RELACIÓN!AM46</f>
        <v>0</v>
      </c>
      <c r="AB38" s="313">
        <f>RELACIÓN!AN46</f>
        <v>0</v>
      </c>
      <c r="AC38" s="314">
        <f>RELACIÓN!AO46</f>
        <v>37.799999999999997</v>
      </c>
      <c r="AD38" s="315">
        <f>RELACIÓN!AP46</f>
        <v>1.89</v>
      </c>
      <c r="AE38" s="313">
        <f>RELACIÓN!AQ46</f>
        <v>0</v>
      </c>
      <c r="AF38" s="313">
        <f>RELACIÓN!AR46</f>
        <v>0</v>
      </c>
      <c r="AG38" s="313">
        <f>RELACIÓN!AS46</f>
        <v>0</v>
      </c>
      <c r="AH38" s="313">
        <f>RELACIÓN!AT46</f>
        <v>0</v>
      </c>
      <c r="AI38" s="313">
        <f>RELACIÓN!AU46</f>
        <v>0</v>
      </c>
      <c r="AJ38" s="313"/>
      <c r="AK38" s="313"/>
      <c r="AL38" s="313"/>
      <c r="AM38" s="311"/>
    </row>
    <row r="39" spans="1:39" s="316" customFormat="1" ht="12">
      <c r="A39" s="311"/>
      <c r="B39" s="311"/>
      <c r="C39" s="311"/>
      <c r="D39" s="338" t="str">
        <f>RELACIÓN!AC49</f>
        <v>Bs</v>
      </c>
      <c r="E39" s="339"/>
      <c r="F39" s="339"/>
      <c r="G39" s="339"/>
      <c r="H39" s="339"/>
      <c r="I39" s="340"/>
      <c r="J39" s="404"/>
      <c r="K39" s="338" t="str">
        <f>RELACIÓN!AJ49</f>
        <v>USD</v>
      </c>
      <c r="L39" s="339"/>
      <c r="M39" s="339"/>
      <c r="N39" s="339"/>
      <c r="O39" s="339"/>
      <c r="P39" s="340"/>
      <c r="Q39" s="313"/>
      <c r="R39" s="314"/>
      <c r="S39" s="314"/>
      <c r="T39" s="314"/>
      <c r="U39" s="314"/>
      <c r="V39" s="314"/>
      <c r="W39" s="315"/>
      <c r="X39" s="313"/>
      <c r="Y39" s="313"/>
      <c r="Z39" s="313"/>
      <c r="AA39" s="313"/>
      <c r="AB39" s="313"/>
      <c r="AC39" s="337"/>
      <c r="AD39" s="337"/>
      <c r="AE39" s="313"/>
      <c r="AF39" s="313"/>
      <c r="AG39" s="313"/>
      <c r="AH39" s="313"/>
      <c r="AI39" s="313"/>
      <c r="AJ39" s="313"/>
      <c r="AK39" s="313"/>
      <c r="AL39" s="313"/>
      <c r="AM39" s="311"/>
    </row>
    <row r="40" spans="1:39" s="316" customFormat="1" ht="11.25">
      <c r="A40" s="311"/>
      <c r="B40" s="311"/>
      <c r="C40" s="311"/>
      <c r="D40" s="341" t="str">
        <f>RELACIÓN!AC50</f>
        <v>PASTAS</v>
      </c>
      <c r="E40" s="405">
        <f>RELACIÓN!AD50</f>
        <v>0</v>
      </c>
      <c r="F40" s="405" t="str">
        <f>RELACIÓN!AE50</f>
        <v>NUCITA</v>
      </c>
      <c r="G40" s="405">
        <f>RELACIÓN!AF50</f>
        <v>0</v>
      </c>
      <c r="H40" s="405" t="str">
        <f>RELACIÓN!AG50</f>
        <v>MOLVENCA</v>
      </c>
      <c r="I40" s="342">
        <f>RELACIÓN!AH50</f>
        <v>0</v>
      </c>
      <c r="J40" s="405"/>
      <c r="K40" s="341" t="str">
        <f>RELACIÓN!AJ50</f>
        <v>PASTAS</v>
      </c>
      <c r="L40" s="405">
        <f>RELACIÓN!AK50</f>
        <v>0</v>
      </c>
      <c r="M40" s="405" t="str">
        <f>RELACIÓN!AL50</f>
        <v>NUCITA</v>
      </c>
      <c r="N40" s="405">
        <f>RELACIÓN!AM50</f>
        <v>0</v>
      </c>
      <c r="O40" s="405" t="str">
        <f>RELACIÓN!AN50</f>
        <v>MOLVENCA</v>
      </c>
      <c r="P40" s="342">
        <f>RELACIÓN!AO50</f>
        <v>0</v>
      </c>
      <c r="Q40" s="313"/>
      <c r="R40" s="314"/>
      <c r="S40" s="314"/>
      <c r="T40" s="314"/>
      <c r="U40" s="314"/>
      <c r="V40" s="314"/>
      <c r="W40" s="315"/>
      <c r="X40" s="313"/>
      <c r="Y40" s="313"/>
      <c r="Z40" s="313"/>
      <c r="AA40" s="313"/>
      <c r="AB40" s="313"/>
      <c r="AC40" s="337"/>
      <c r="AD40" s="337"/>
      <c r="AE40" s="313"/>
      <c r="AF40" s="313"/>
      <c r="AG40" s="313"/>
      <c r="AH40" s="313"/>
      <c r="AI40" s="313"/>
      <c r="AJ40" s="313"/>
      <c r="AK40" s="313"/>
      <c r="AL40" s="313"/>
      <c r="AM40" s="311"/>
    </row>
    <row r="41" spans="1:39" s="316" customFormat="1" ht="11.25">
      <c r="A41" s="311"/>
      <c r="B41" s="311"/>
      <c r="C41" s="311"/>
      <c r="D41" s="341" t="str">
        <f>RELACIÓN!AC51</f>
        <v>SUBTOTAL</v>
      </c>
      <c r="E41" s="405">
        <f>RELACIÓN!AD51</f>
        <v>1878.3</v>
      </c>
      <c r="F41" s="405" t="str">
        <f>RELACIÓN!AE51</f>
        <v>SUBTOTAL</v>
      </c>
      <c r="G41" s="405">
        <f>RELACIÓN!AF51</f>
        <v>340.41000000000008</v>
      </c>
      <c r="H41" s="405" t="str">
        <f>RELACIÓN!AG51</f>
        <v>SUBTOTAL</v>
      </c>
      <c r="I41" s="342">
        <f>RELACIÓN!AH51</f>
        <v>39.69</v>
      </c>
      <c r="J41" s="405"/>
      <c r="K41" s="341" t="str">
        <f>RELACIÓN!AJ51</f>
        <v>SUBTOTAL</v>
      </c>
      <c r="L41" s="405">
        <f>RELACIÓN!AK51</f>
        <v>1878.3</v>
      </c>
      <c r="M41" s="405" t="str">
        <f>RELACIÓN!AL51</f>
        <v>SUBTOTAL</v>
      </c>
      <c r="N41" s="405">
        <f>RELACIÓN!AM51</f>
        <v>340.41000000000008</v>
      </c>
      <c r="O41" s="405" t="str">
        <f>RELACIÓN!AN51</f>
        <v>SUBTOTAL</v>
      </c>
      <c r="P41" s="342">
        <f>RELACIÓN!AO51</f>
        <v>39.69</v>
      </c>
      <c r="Q41" s="313"/>
      <c r="R41" s="314"/>
      <c r="S41" s="314"/>
      <c r="T41" s="314"/>
      <c r="U41" s="314"/>
      <c r="V41" s="314"/>
      <c r="W41" s="315"/>
      <c r="X41" s="313"/>
      <c r="Y41" s="313"/>
      <c r="Z41" s="313"/>
      <c r="AA41" s="313"/>
      <c r="AB41" s="313"/>
      <c r="AC41" s="337"/>
      <c r="AD41" s="337"/>
      <c r="AE41" s="313"/>
      <c r="AF41" s="313"/>
      <c r="AG41" s="313"/>
      <c r="AH41" s="313"/>
      <c r="AI41" s="313"/>
      <c r="AJ41" s="313"/>
      <c r="AK41" s="313"/>
      <c r="AL41" s="313"/>
      <c r="AM41" s="311"/>
    </row>
    <row r="42" spans="1:39" s="316" customFormat="1" ht="11.25">
      <c r="A42" s="311"/>
      <c r="B42" s="311"/>
      <c r="C42" s="311"/>
      <c r="D42" s="341" t="str">
        <f>RELACIÓN!AC52</f>
        <v>EXENTO</v>
      </c>
      <c r="E42" s="405">
        <f>RELACIÓN!AD52</f>
        <v>1878.3</v>
      </c>
      <c r="F42" s="405" t="str">
        <f>RELACIÓN!AE52</f>
        <v>EXENTO</v>
      </c>
      <c r="G42" s="405">
        <f>RELACIÓN!AF52</f>
        <v>340.41000000000008</v>
      </c>
      <c r="H42" s="405" t="str">
        <f>RELACIÓN!AG52</f>
        <v>EXENTO</v>
      </c>
      <c r="I42" s="342">
        <f>RELACIÓN!AH52</f>
        <v>39.69</v>
      </c>
      <c r="J42" s="405"/>
      <c r="K42" s="341" t="str">
        <f>RELACIÓN!AJ52</f>
        <v>EXENTO</v>
      </c>
      <c r="L42" s="405">
        <f>RELACIÓN!AK52</f>
        <v>1878.3</v>
      </c>
      <c r="M42" s="405" t="str">
        <f>RELACIÓN!AL52</f>
        <v>EXENTO</v>
      </c>
      <c r="N42" s="405">
        <f>RELACIÓN!AM52</f>
        <v>340.41000000000008</v>
      </c>
      <c r="O42" s="405" t="str">
        <f>RELACIÓN!AN52</f>
        <v>EXENTO</v>
      </c>
      <c r="P42" s="342">
        <f>RELACIÓN!AO52</f>
        <v>39.69</v>
      </c>
      <c r="Q42" s="313"/>
      <c r="R42" s="314"/>
      <c r="S42" s="314"/>
      <c r="T42" s="314"/>
      <c r="U42" s="314"/>
      <c r="V42" s="314"/>
      <c r="W42" s="315"/>
      <c r="X42" s="313"/>
      <c r="Y42" s="313"/>
      <c r="Z42" s="313"/>
      <c r="AA42" s="313"/>
      <c r="AB42" s="313"/>
      <c r="AC42" s="337"/>
      <c r="AD42" s="337"/>
      <c r="AE42" s="313"/>
      <c r="AF42" s="313"/>
      <c r="AG42" s="313"/>
      <c r="AH42" s="313"/>
      <c r="AI42" s="313"/>
      <c r="AJ42" s="313"/>
      <c r="AK42" s="313"/>
      <c r="AL42" s="313"/>
      <c r="AM42" s="311"/>
    </row>
    <row r="43" spans="1:39" s="316" customFormat="1" ht="11.25">
      <c r="A43" s="311"/>
      <c r="B43" s="311"/>
      <c r="C43" s="311"/>
      <c r="D43" s="341" t="str">
        <f>RELACIÓN!AC53</f>
        <v>GRAVABLE</v>
      </c>
      <c r="E43" s="405">
        <f>RELACIÓN!AD53</f>
        <v>0</v>
      </c>
      <c r="F43" s="405" t="str">
        <f>RELACIÓN!AE53</f>
        <v>GRAVABLE</v>
      </c>
      <c r="G43" s="405">
        <f>RELACIÓN!AF53</f>
        <v>0</v>
      </c>
      <c r="H43" s="405" t="str">
        <f>RELACIÓN!AG53</f>
        <v>GRAVABLE</v>
      </c>
      <c r="I43" s="342">
        <f>RELACIÓN!AH53</f>
        <v>0</v>
      </c>
      <c r="J43" s="405"/>
      <c r="K43" s="341" t="str">
        <f>RELACIÓN!AJ53</f>
        <v>GRAVABLE</v>
      </c>
      <c r="L43" s="405">
        <f>RELACIÓN!AK53</f>
        <v>0</v>
      </c>
      <c r="M43" s="405" t="str">
        <f>RELACIÓN!AL53</f>
        <v>GRAVABLE</v>
      </c>
      <c r="N43" s="405">
        <f>RELACIÓN!AM53</f>
        <v>0</v>
      </c>
      <c r="O43" s="405" t="str">
        <f>RELACIÓN!AN53</f>
        <v>GRAVABLE</v>
      </c>
      <c r="P43" s="342">
        <f>RELACIÓN!AO53</f>
        <v>0</v>
      </c>
      <c r="Q43" s="313"/>
      <c r="R43" s="314"/>
      <c r="S43" s="314"/>
      <c r="T43" s="314"/>
      <c r="U43" s="314"/>
      <c r="V43" s="314"/>
      <c r="W43" s="315"/>
      <c r="X43" s="313"/>
      <c r="Y43" s="313"/>
      <c r="Z43" s="313"/>
      <c r="AA43" s="313"/>
      <c r="AB43" s="313"/>
      <c r="AC43" s="337"/>
      <c r="AD43" s="337"/>
      <c r="AE43" s="313"/>
      <c r="AF43" s="313"/>
      <c r="AG43" s="313"/>
      <c r="AH43" s="313"/>
      <c r="AI43" s="313"/>
      <c r="AJ43" s="313"/>
      <c r="AK43" s="313"/>
      <c r="AL43" s="313"/>
      <c r="AM43" s="311"/>
    </row>
    <row r="44" spans="1:39" s="316" customFormat="1" ht="11.25">
      <c r="A44" s="311"/>
      <c r="B44" s="311"/>
      <c r="C44" s="311"/>
      <c r="D44" s="341" t="str">
        <f>RELACIÓN!AC54</f>
        <v>IVA (16%)</v>
      </c>
      <c r="E44" s="405">
        <f>RELACIÓN!AD54</f>
        <v>0</v>
      </c>
      <c r="F44" s="405" t="str">
        <f>RELACIÓN!AE54</f>
        <v>IVA (16%)</v>
      </c>
      <c r="G44" s="405">
        <f>RELACIÓN!AF54</f>
        <v>0</v>
      </c>
      <c r="H44" s="405" t="str">
        <f>RELACIÓN!AG54</f>
        <v>IVA (16%)</v>
      </c>
      <c r="I44" s="342">
        <f>RELACIÓN!AH54</f>
        <v>0</v>
      </c>
      <c r="J44" s="405"/>
      <c r="K44" s="341" t="str">
        <f>RELACIÓN!AJ54</f>
        <v>IVA (16%)</v>
      </c>
      <c r="L44" s="405">
        <f>RELACIÓN!AK54</f>
        <v>0</v>
      </c>
      <c r="M44" s="405" t="str">
        <f>RELACIÓN!AL54</f>
        <v>IVA (16%)</v>
      </c>
      <c r="N44" s="405">
        <f>RELACIÓN!AM54</f>
        <v>0</v>
      </c>
      <c r="O44" s="405" t="str">
        <f>RELACIÓN!AN54</f>
        <v>IVA (16%)</v>
      </c>
      <c r="P44" s="342">
        <f>RELACIÓN!AO54</f>
        <v>0</v>
      </c>
      <c r="Q44" s="313"/>
      <c r="R44" s="314"/>
      <c r="S44" s="314"/>
      <c r="T44" s="314"/>
      <c r="U44" s="314"/>
      <c r="V44" s="314"/>
      <c r="W44" s="315"/>
      <c r="X44" s="313"/>
      <c r="Y44" s="313"/>
      <c r="Z44" s="313"/>
      <c r="AA44" s="313"/>
      <c r="AB44" s="313"/>
      <c r="AC44" s="337"/>
      <c r="AD44" s="337"/>
      <c r="AE44" s="313"/>
      <c r="AF44" s="313"/>
      <c r="AG44" s="313"/>
      <c r="AH44" s="313"/>
      <c r="AI44" s="313"/>
      <c r="AJ44" s="313"/>
      <c r="AK44" s="313"/>
      <c r="AL44" s="313"/>
      <c r="AM44" s="311"/>
    </row>
    <row r="45" spans="1:39" ht="13.5" thickBot="1">
      <c r="D45" s="343" t="str">
        <f>RELACIÓN!AC55</f>
        <v>TOTAL</v>
      </c>
      <c r="E45" s="344">
        <f>RELACIÓN!AD55</f>
        <v>1878.3</v>
      </c>
      <c r="F45" s="344" t="str">
        <f>RELACIÓN!AE55</f>
        <v>TOTAL</v>
      </c>
      <c r="G45" s="344">
        <f>RELACIÓN!AF55</f>
        <v>340.41</v>
      </c>
      <c r="H45" s="344" t="str">
        <f>RELACIÓN!AG55</f>
        <v>TOTAL</v>
      </c>
      <c r="I45" s="345">
        <f>RELACIÓN!AH55</f>
        <v>39.69</v>
      </c>
      <c r="J45" s="406"/>
      <c r="K45" s="343" t="str">
        <f>RELACIÓN!AJ55</f>
        <v>TOTAL</v>
      </c>
      <c r="L45" s="344">
        <f>RELACIÓN!AK55</f>
        <v>1878.3</v>
      </c>
      <c r="M45" s="344" t="str">
        <f>RELACIÓN!AL55</f>
        <v>TOTAL</v>
      </c>
      <c r="N45" s="344">
        <f>RELACIÓN!AM55</f>
        <v>340.41</v>
      </c>
      <c r="O45" s="344" t="str">
        <f>RELACIÓN!AN55</f>
        <v>TOTAL</v>
      </c>
      <c r="P45" s="345">
        <f>RELACIÓN!AO55</f>
        <v>39.69</v>
      </c>
    </row>
    <row r="46" spans="1:39">
      <c r="D46" s="311">
        <f>RELACIÓN!AC56</f>
        <v>0</v>
      </c>
    </row>
  </sheetData>
  <mergeCells count="6">
    <mergeCell ref="AC2:AI2"/>
    <mergeCell ref="B1:F1"/>
    <mergeCell ref="G1:N2"/>
    <mergeCell ref="B2:F2"/>
    <mergeCell ref="O2:U2"/>
    <mergeCell ref="V2:AB2"/>
  </mergeCells>
  <pageMargins left="0.70866141732283505" right="0.70866141732283505" top="0.74803149606299202" bottom="0.74803149606299202" header="0.31496062992126" footer="0.31496062992126"/>
  <pageSetup scale="32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Pasta">
                <anchor moveWithCells="1" sizeWithCells="1">
                  <from>
                    <xdr:col>1</xdr:col>
                    <xdr:colOff>9525</xdr:colOff>
                    <xdr:row>47</xdr:row>
                    <xdr:rowOff>38100</xdr:rowOff>
                  </from>
                  <to>
                    <xdr:col>4</xdr:col>
                    <xdr:colOff>9525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Nuciven">
                <anchor moveWithCells="1" sizeWithCells="1">
                  <from>
                    <xdr:col>5</xdr:col>
                    <xdr:colOff>9525</xdr:colOff>
                    <xdr:row>47</xdr:row>
                    <xdr:rowOff>9525</xdr:rowOff>
                  </from>
                  <to>
                    <xdr:col>8</xdr:col>
                    <xdr:colOff>714375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mpMolvenca">
                <anchor moveWithCells="1" sizeWithCells="1">
                  <from>
                    <xdr:col>10</xdr:col>
                    <xdr:colOff>28575</xdr:colOff>
                    <xdr:row>47</xdr:row>
                    <xdr:rowOff>38100</xdr:rowOff>
                  </from>
                  <to>
                    <xdr:col>12</xdr:col>
                    <xdr:colOff>561975</xdr:colOff>
                    <xdr:row>50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pageSetUpPr fitToPage="1"/>
  </sheetPr>
  <dimension ref="A1:J59"/>
  <sheetViews>
    <sheetView showGridLines="0" topLeftCell="A26" workbookViewId="0">
      <selection activeCell="B59" sqref="B59"/>
    </sheetView>
  </sheetViews>
  <sheetFormatPr baseColWidth="10" defaultRowHeight="12.75"/>
  <cols>
    <col min="1" max="1" width="24.42578125" customWidth="1"/>
    <col min="2" max="4" width="15.85546875" customWidth="1"/>
    <col min="5" max="5" width="23.5703125" customWidth="1"/>
    <col min="6" max="6" width="21.28515625" bestFit="1" customWidth="1"/>
    <col min="7" max="7" width="18" customWidth="1"/>
  </cols>
  <sheetData>
    <row r="1" spans="1:10" s="1" customFormat="1" ht="15.75">
      <c r="A1" s="1" t="s">
        <v>15</v>
      </c>
    </row>
    <row r="2" spans="1:10" s="1" customFormat="1" ht="15.75">
      <c r="B2" s="2"/>
    </row>
    <row r="3" spans="1:10" s="1" customFormat="1" ht="30.75" customHeight="1">
      <c r="A3" s="474" t="s">
        <v>16</v>
      </c>
      <c r="B3" s="474"/>
      <c r="C3" s="474"/>
      <c r="D3" s="474"/>
      <c r="E3" s="474"/>
      <c r="F3" s="474"/>
      <c r="G3" s="474"/>
    </row>
    <row r="4" spans="1:10" s="1" customFormat="1" ht="16.5" thickBot="1">
      <c r="A4" s="474" t="s">
        <v>17</v>
      </c>
      <c r="B4" s="474"/>
      <c r="C4" s="474"/>
      <c r="D4" s="474"/>
      <c r="E4" s="474"/>
      <c r="F4" s="474"/>
      <c r="G4" s="474"/>
    </row>
    <row r="5" spans="1:10" ht="30" customHeight="1" thickTop="1" thickBot="1">
      <c r="A5" s="471" t="s">
        <v>184</v>
      </c>
      <c r="B5" s="472"/>
      <c r="C5" s="472"/>
      <c r="D5" s="472"/>
      <c r="E5" s="472"/>
      <c r="F5" s="472"/>
      <c r="G5" s="473"/>
    </row>
    <row r="6" spans="1:10" ht="27" thickTop="1" thickBot="1">
      <c r="A6" s="3" t="s">
        <v>18</v>
      </c>
      <c r="B6" s="3" t="s">
        <v>19</v>
      </c>
      <c r="C6" s="3" t="s">
        <v>20</v>
      </c>
      <c r="D6" s="3" t="s">
        <v>21</v>
      </c>
      <c r="E6" s="3" t="s">
        <v>22</v>
      </c>
      <c r="F6" s="3" t="s">
        <v>23</v>
      </c>
      <c r="G6" s="3" t="s">
        <v>24</v>
      </c>
    </row>
    <row r="7" spans="1:10" ht="15.75" thickTop="1">
      <c r="A7" s="43">
        <v>1726.66</v>
      </c>
      <c r="B7" s="5">
        <v>19555</v>
      </c>
      <c r="C7" s="5">
        <f>A7/D7</f>
        <v>7.9653276253390665E-2</v>
      </c>
      <c r="D7" s="5">
        <v>21677.200000000001</v>
      </c>
      <c r="E7" s="58">
        <f>C7*B7</f>
        <v>1557.6198171350545</v>
      </c>
      <c r="F7" s="58">
        <f>A7-E7</f>
        <v>169.04018286494556</v>
      </c>
      <c r="G7" s="6">
        <f>SUM(E7:F7)</f>
        <v>1726.66</v>
      </c>
      <c r="I7" t="s">
        <v>141</v>
      </c>
      <c r="J7">
        <v>17860468.080000002</v>
      </c>
    </row>
    <row r="8" spans="1:10">
      <c r="I8" t="s">
        <v>181</v>
      </c>
      <c r="J8">
        <v>5000</v>
      </c>
    </row>
    <row r="9" spans="1:10" ht="13.5" thickBot="1">
      <c r="I9" t="s">
        <v>182</v>
      </c>
      <c r="J9">
        <v>4200</v>
      </c>
    </row>
    <row r="10" spans="1:10" ht="30" customHeight="1" thickTop="1" thickBot="1">
      <c r="A10" s="471" t="s">
        <v>183</v>
      </c>
      <c r="B10" s="472"/>
      <c r="C10" s="472"/>
      <c r="D10" s="472"/>
      <c r="E10" s="472"/>
      <c r="F10" s="472"/>
      <c r="G10" s="473"/>
    </row>
    <row r="11" spans="1:10" ht="27" thickTop="1" thickBot="1">
      <c r="A11" s="3" t="s">
        <v>186</v>
      </c>
      <c r="B11" s="3" t="s">
        <v>19</v>
      </c>
      <c r="C11" s="3" t="s">
        <v>20</v>
      </c>
      <c r="D11" s="3" t="s">
        <v>21</v>
      </c>
      <c r="E11" s="3" t="s">
        <v>22</v>
      </c>
      <c r="F11" s="3" t="s">
        <v>23</v>
      </c>
      <c r="G11" s="3" t="s">
        <v>24</v>
      </c>
    </row>
    <row r="12" spans="1:10" ht="15.75" thickTop="1">
      <c r="A12" s="4">
        <v>36.64</v>
      </c>
      <c r="B12" s="5">
        <v>555</v>
      </c>
      <c r="C12" s="5">
        <f>A12/D12</f>
        <v>1.3685736056535837E-2</v>
      </c>
      <c r="D12" s="5">
        <v>2677.24</v>
      </c>
      <c r="E12" s="4">
        <f>C12*B12</f>
        <v>7.5955835113773897</v>
      </c>
      <c r="F12" s="4">
        <f>A12-E12</f>
        <v>29.044416488622609</v>
      </c>
      <c r="G12" s="6">
        <f>SUM(E12:F12)</f>
        <v>36.64</v>
      </c>
    </row>
    <row r="14" spans="1:10" ht="13.5" thickBot="1"/>
    <row r="15" spans="1:10" ht="14.25" thickTop="1" thickBot="1">
      <c r="A15" s="471" t="s">
        <v>185</v>
      </c>
      <c r="B15" s="472"/>
      <c r="C15" s="472"/>
      <c r="D15" s="472"/>
      <c r="E15" s="472"/>
      <c r="F15" s="472"/>
      <c r="G15" s="473"/>
    </row>
    <row r="16" spans="1:10" ht="27" thickTop="1" thickBot="1">
      <c r="A16" s="3" t="s">
        <v>18</v>
      </c>
      <c r="B16" s="3" t="s">
        <v>19</v>
      </c>
      <c r="C16" s="3" t="s">
        <v>20</v>
      </c>
      <c r="D16" s="3" t="s">
        <v>21</v>
      </c>
      <c r="E16" s="3" t="s">
        <v>22</v>
      </c>
      <c r="F16" s="3" t="s">
        <v>23</v>
      </c>
      <c r="G16" s="3" t="s">
        <v>24</v>
      </c>
    </row>
    <row r="17" spans="1:9" ht="15.75" thickTop="1">
      <c r="A17" s="4">
        <f>20608232.4*5%</f>
        <v>1030411.62</v>
      </c>
      <c r="B17" s="5">
        <v>4200</v>
      </c>
      <c r="C17" s="5">
        <f>ROUND(A17/D17,2)</f>
        <v>206.08</v>
      </c>
      <c r="D17" s="5">
        <v>5000</v>
      </c>
      <c r="E17" s="4">
        <f>C17*B17</f>
        <v>865536</v>
      </c>
      <c r="F17" s="4">
        <f>A17-E17</f>
        <v>164875.62</v>
      </c>
      <c r="G17" s="6">
        <f>SUM(E17:F17)</f>
        <v>1030411.62</v>
      </c>
      <c r="I17">
        <f>Tabulador!M1*97</f>
        <v>97</v>
      </c>
    </row>
    <row r="19" spans="1:9" ht="13.5" thickBot="1"/>
    <row r="20" spans="1:9" ht="14.25" thickTop="1" thickBot="1">
      <c r="A20" s="471" t="s">
        <v>123</v>
      </c>
      <c r="B20" s="472"/>
      <c r="C20" s="472"/>
      <c r="D20" s="472"/>
      <c r="E20" s="472"/>
      <c r="F20" s="472"/>
      <c r="G20" s="473"/>
    </row>
    <row r="21" spans="1:9" ht="27" thickTop="1" thickBot="1">
      <c r="A21" s="3" t="s">
        <v>18</v>
      </c>
      <c r="B21" s="3" t="s">
        <v>19</v>
      </c>
      <c r="C21" s="3" t="s">
        <v>20</v>
      </c>
      <c r="D21" s="3" t="s">
        <v>21</v>
      </c>
      <c r="E21" s="3" t="s">
        <v>22</v>
      </c>
      <c r="F21" s="3" t="s">
        <v>23</v>
      </c>
      <c r="G21" s="3" t="s">
        <v>24</v>
      </c>
    </row>
    <row r="22" spans="1:9" ht="15.75" thickTop="1">
      <c r="A22" s="4">
        <f>20608232.4*5%</f>
        <v>1030411.62</v>
      </c>
      <c r="B22" s="5">
        <v>4200</v>
      </c>
      <c r="C22" s="5">
        <f>ROUND(A22/D22,2)</f>
        <v>206.08</v>
      </c>
      <c r="D22" s="5">
        <v>5000</v>
      </c>
      <c r="E22" s="4">
        <f>C22*B22</f>
        <v>865536</v>
      </c>
      <c r="F22" s="4">
        <f>A22-E22</f>
        <v>164875.62</v>
      </c>
      <c r="G22" s="6">
        <f>SUM(E22:F22)</f>
        <v>1030411.62</v>
      </c>
    </row>
    <row r="25" spans="1:9">
      <c r="A25" t="s">
        <v>306</v>
      </c>
    </row>
    <row r="27" spans="1:9">
      <c r="A27" t="s">
        <v>295</v>
      </c>
    </row>
    <row r="28" spans="1:9">
      <c r="B28" s="324"/>
    </row>
    <row r="29" spans="1:9">
      <c r="A29" t="s">
        <v>284</v>
      </c>
      <c r="B29" s="327">
        <v>20000</v>
      </c>
      <c r="C29" t="s">
        <v>296</v>
      </c>
      <c r="E29" t="s">
        <v>317</v>
      </c>
      <c r="F29">
        <f>B41*B32*52</f>
        <v>40560</v>
      </c>
      <c r="G29" t="s">
        <v>296</v>
      </c>
    </row>
    <row r="30" spans="1:9">
      <c r="A30" t="s">
        <v>286</v>
      </c>
      <c r="B30" s="327">
        <f>B29/(195*2)</f>
        <v>51.282051282051285</v>
      </c>
      <c r="C30" t="s">
        <v>297</v>
      </c>
      <c r="E30" t="s">
        <v>318</v>
      </c>
      <c r="F30" s="74">
        <f>B37/F29</f>
        <v>0.224</v>
      </c>
      <c r="G30" t="s">
        <v>319</v>
      </c>
    </row>
    <row r="31" spans="1:9">
      <c r="A31" t="s">
        <v>287</v>
      </c>
      <c r="B31" s="327">
        <v>14</v>
      </c>
      <c r="C31" t="s">
        <v>295</v>
      </c>
      <c r="E31" t="s">
        <v>320</v>
      </c>
      <c r="F31" s="74">
        <f>B43/F29</f>
        <v>0.28571428571428575</v>
      </c>
      <c r="G31" t="s">
        <v>319</v>
      </c>
    </row>
    <row r="32" spans="1:9">
      <c r="A32" t="s">
        <v>288</v>
      </c>
      <c r="B32" s="327">
        <v>2</v>
      </c>
      <c r="C32" t="s">
        <v>298</v>
      </c>
      <c r="E32" t="s">
        <v>321</v>
      </c>
      <c r="F32">
        <f>B49/F29</f>
        <v>3.6982248520710057E-3</v>
      </c>
      <c r="G32" t="s">
        <v>319</v>
      </c>
    </row>
    <row r="33" spans="1:6">
      <c r="A33" t="s">
        <v>289</v>
      </c>
      <c r="B33" s="327">
        <f>B32*52</f>
        <v>104</v>
      </c>
      <c r="C33" t="s">
        <v>298</v>
      </c>
      <c r="E33" t="s">
        <v>322</v>
      </c>
      <c r="F33">
        <f>B57/F29</f>
        <v>1.3145956607495068</v>
      </c>
    </row>
    <row r="34" spans="1:6">
      <c r="A34" t="s">
        <v>290</v>
      </c>
      <c r="B34" s="327">
        <f>B33/B30</f>
        <v>2.028</v>
      </c>
      <c r="C34" t="s">
        <v>299</v>
      </c>
    </row>
    <row r="35" spans="1:6">
      <c r="A35" t="s">
        <v>291</v>
      </c>
      <c r="B35" s="327">
        <v>320</v>
      </c>
      <c r="C35" t="s">
        <v>241</v>
      </c>
    </row>
    <row r="36" spans="1:6">
      <c r="A36" t="s">
        <v>292</v>
      </c>
      <c r="B36" s="327">
        <f>B35*B31</f>
        <v>4480</v>
      </c>
      <c r="C36" t="s">
        <v>241</v>
      </c>
      <c r="E36" t="s">
        <v>323</v>
      </c>
      <c r="F36" s="329">
        <f>B59+(F30*B41)+(F31*B41)+(F32*B41)</f>
        <v>712.92318681318682</v>
      </c>
    </row>
    <row r="37" spans="1:6">
      <c r="A37" t="s">
        <v>293</v>
      </c>
      <c r="B37" s="328">
        <f>B36*B34</f>
        <v>9085.44</v>
      </c>
      <c r="C37" t="s">
        <v>300</v>
      </c>
    </row>
    <row r="38" spans="1:6">
      <c r="B38" s="327"/>
    </row>
    <row r="39" spans="1:6">
      <c r="A39" t="s">
        <v>294</v>
      </c>
      <c r="B39" s="326">
        <v>0.5</v>
      </c>
      <c r="C39" t="s">
        <v>241</v>
      </c>
    </row>
    <row r="40" spans="1:6">
      <c r="A40" t="s">
        <v>302</v>
      </c>
      <c r="B40" s="327">
        <v>3.5</v>
      </c>
      <c r="C40" t="s">
        <v>285</v>
      </c>
    </row>
    <row r="41" spans="1:6">
      <c r="A41" t="s">
        <v>301</v>
      </c>
      <c r="B41" s="327">
        <f>195*2</f>
        <v>390</v>
      </c>
      <c r="C41" t="s">
        <v>296</v>
      </c>
    </row>
    <row r="42" spans="1:6">
      <c r="A42" t="s">
        <v>303</v>
      </c>
      <c r="B42" s="327">
        <f>(B41/B40)</f>
        <v>111.42857142857143</v>
      </c>
      <c r="C42" t="s">
        <v>241</v>
      </c>
    </row>
    <row r="43" spans="1:6">
      <c r="A43" t="s">
        <v>304</v>
      </c>
      <c r="B43" s="328">
        <f>B42*B33</f>
        <v>11588.571428571429</v>
      </c>
      <c r="C43" t="s">
        <v>241</v>
      </c>
    </row>
    <row r="45" spans="1:6">
      <c r="A45" t="s">
        <v>305</v>
      </c>
    </row>
    <row r="46" spans="1:6">
      <c r="A46" t="s">
        <v>307</v>
      </c>
      <c r="B46">
        <v>15</v>
      </c>
      <c r="C46" t="s">
        <v>241</v>
      </c>
    </row>
    <row r="47" spans="1:6">
      <c r="A47" t="s">
        <v>308</v>
      </c>
      <c r="B47">
        <v>5</v>
      </c>
      <c r="C47" t="s">
        <v>309</v>
      </c>
    </row>
    <row r="48" spans="1:6">
      <c r="A48" t="s">
        <v>310</v>
      </c>
      <c r="B48">
        <v>2</v>
      </c>
      <c r="C48" t="s">
        <v>311</v>
      </c>
    </row>
    <row r="49" spans="1:3">
      <c r="A49" t="s">
        <v>312</v>
      </c>
      <c r="B49" s="325">
        <f>B46*B47*B48</f>
        <v>150</v>
      </c>
      <c r="C49" t="s">
        <v>241</v>
      </c>
    </row>
    <row r="52" spans="1:3">
      <c r="A52" t="s">
        <v>324</v>
      </c>
    </row>
    <row r="53" spans="1:3">
      <c r="A53" t="s">
        <v>313</v>
      </c>
      <c r="B53">
        <f>70*12</f>
        <v>840</v>
      </c>
      <c r="C53" t="s">
        <v>241</v>
      </c>
    </row>
    <row r="54" spans="1:3">
      <c r="A54" t="s">
        <v>314</v>
      </c>
      <c r="B54">
        <f>(200*10)*12</f>
        <v>24000</v>
      </c>
      <c r="C54" t="s">
        <v>241</v>
      </c>
    </row>
    <row r="55" spans="1:3">
      <c r="A55" t="s">
        <v>315</v>
      </c>
      <c r="B55">
        <v>28000</v>
      </c>
      <c r="C55" t="s">
        <v>241</v>
      </c>
    </row>
    <row r="56" spans="1:3">
      <c r="A56" t="s">
        <v>316</v>
      </c>
      <c r="B56">
        <f>40*12</f>
        <v>480</v>
      </c>
      <c r="C56" t="s">
        <v>241</v>
      </c>
    </row>
    <row r="57" spans="1:3">
      <c r="B57" s="325">
        <f>SUM(B53:B56)</f>
        <v>53320</v>
      </c>
      <c r="C57" t="s">
        <v>241</v>
      </c>
    </row>
    <row r="59" spans="1:3">
      <c r="A59" t="s">
        <v>133</v>
      </c>
      <c r="B59" s="74">
        <f>B57/F29*B41</f>
        <v>512.69230769230762</v>
      </c>
    </row>
  </sheetData>
  <mergeCells count="6">
    <mergeCell ref="A20:G20"/>
    <mergeCell ref="A3:G3"/>
    <mergeCell ref="A4:G4"/>
    <mergeCell ref="A5:G5"/>
    <mergeCell ref="A10:G10"/>
    <mergeCell ref="A15:G15"/>
  </mergeCells>
  <pageMargins left="0.7" right="0.7" top="0.75" bottom="0.75" header="0.3" footer="0.3"/>
  <pageSetup scale="74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BJ169"/>
  <sheetViews>
    <sheetView zoomScale="80" zoomScaleNormal="80" workbookViewId="0">
      <pane ySplit="15" topLeftCell="A104" activePane="bottomLeft" state="frozen"/>
      <selection pane="bottomLeft" activeCell="A16" sqref="A16:A115"/>
    </sheetView>
  </sheetViews>
  <sheetFormatPr baseColWidth="10" defaultRowHeight="16.5"/>
  <cols>
    <col min="1" max="1" width="23.28515625" customWidth="1"/>
    <col min="2" max="2" width="12" customWidth="1"/>
    <col min="3" max="4" width="16.7109375" customWidth="1"/>
    <col min="5" max="7" width="16.7109375" style="37" customWidth="1"/>
    <col min="8" max="8" width="16.7109375" style="38" customWidth="1"/>
    <col min="9" max="9" width="16.7109375" customWidth="1"/>
    <col min="10" max="15" width="18.7109375" customWidth="1"/>
    <col min="16" max="16" width="18.28515625" customWidth="1"/>
    <col min="17" max="17" width="9.42578125" customWidth="1"/>
    <col min="18" max="18" width="11" customWidth="1"/>
    <col min="19" max="19" width="4.7109375" customWidth="1"/>
    <col min="20" max="20" width="3.28515625" customWidth="1"/>
    <col min="21" max="21" width="13" customWidth="1"/>
    <col min="22" max="22" width="5.85546875" customWidth="1"/>
    <col min="23" max="23" width="8.140625" customWidth="1"/>
    <col min="24" max="24" width="5.7109375" customWidth="1"/>
    <col min="25" max="25" width="6.140625" customWidth="1"/>
    <col min="26" max="26" width="8.42578125" customWidth="1"/>
    <col min="27" max="27" width="9.140625" customWidth="1"/>
    <col min="28" max="28" width="8.7109375" customWidth="1"/>
    <col min="29" max="38" width="11.42578125" customWidth="1"/>
    <col min="39" max="39" width="16.85546875" customWidth="1"/>
    <col min="51" max="51" width="22.7109375" customWidth="1"/>
    <col min="53" max="53" width="12.42578125" bestFit="1" customWidth="1"/>
    <col min="54" max="62" width="13.5703125" bestFit="1" customWidth="1"/>
  </cols>
  <sheetData>
    <row r="1" spans="1:62" ht="21">
      <c r="A1" s="23" t="s">
        <v>29</v>
      </c>
      <c r="B1" s="24"/>
      <c r="C1" s="24"/>
      <c r="D1" s="24"/>
      <c r="J1">
        <v>7</v>
      </c>
      <c r="K1" s="109" t="s">
        <v>129</v>
      </c>
      <c r="L1" s="260">
        <v>45632</v>
      </c>
      <c r="M1" s="264">
        <v>1</v>
      </c>
      <c r="U1" s="227"/>
    </row>
    <row r="2" spans="1:62" ht="15.75">
      <c r="A2" s="475" t="s">
        <v>30</v>
      </c>
      <c r="B2" s="476"/>
      <c r="C2" s="68" t="s">
        <v>34</v>
      </c>
      <c r="D2" s="68" t="s">
        <v>35</v>
      </c>
      <c r="E2" s="68" t="s">
        <v>37</v>
      </c>
      <c r="F2" s="69" t="s">
        <v>36</v>
      </c>
      <c r="G2" s="70" t="s">
        <v>131</v>
      </c>
      <c r="H2" s="68" t="s">
        <v>34</v>
      </c>
      <c r="I2" s="68" t="s">
        <v>35</v>
      </c>
      <c r="J2" s="68" t="s">
        <v>37</v>
      </c>
      <c r="K2" s="69" t="s">
        <v>36</v>
      </c>
      <c r="L2" s="70" t="s">
        <v>131</v>
      </c>
      <c r="M2" s="114" t="s">
        <v>125</v>
      </c>
      <c r="N2" s="70" t="s">
        <v>33</v>
      </c>
      <c r="O2" s="70" t="s">
        <v>31</v>
      </c>
      <c r="P2" s="70" t="s">
        <v>32</v>
      </c>
      <c r="Q2" s="70" t="s">
        <v>39</v>
      </c>
      <c r="R2" s="70" t="s">
        <v>153</v>
      </c>
      <c r="U2" s="348" t="s">
        <v>340</v>
      </c>
      <c r="V2">
        <v>2</v>
      </c>
      <c r="W2">
        <f>V2*$M$1</f>
        <v>2</v>
      </c>
    </row>
    <row r="3" spans="1:62" ht="15">
      <c r="A3" s="59">
        <v>2.5</v>
      </c>
      <c r="B3" s="73">
        <v>2500</v>
      </c>
      <c r="C3" s="71">
        <v>10</v>
      </c>
      <c r="D3" s="71">
        <v>20</v>
      </c>
      <c r="E3" s="71">
        <v>6</v>
      </c>
      <c r="F3" s="72">
        <v>12</v>
      </c>
      <c r="G3" s="110">
        <v>0.05</v>
      </c>
      <c r="H3" s="111">
        <f>IF(N3=1,C3*$M$1,"")</f>
        <v>10</v>
      </c>
      <c r="I3" s="112">
        <f>IF(O3=1,D3*$M$1,"")</f>
        <v>20</v>
      </c>
      <c r="J3" s="111">
        <f>IF(P3=1,E3*$M$1,"")</f>
        <v>6</v>
      </c>
      <c r="K3" s="111">
        <f>IF(Q3=1,F3*$M$1,"")</f>
        <v>12</v>
      </c>
      <c r="L3" s="112" t="str">
        <f>IF(R3=1,G3*$M$1,"")</f>
        <v/>
      </c>
      <c r="M3" s="73">
        <v>2500</v>
      </c>
      <c r="N3" s="112">
        <v>1</v>
      </c>
      <c r="O3" s="112">
        <v>1</v>
      </c>
      <c r="P3" s="112">
        <v>1</v>
      </c>
      <c r="Q3" s="112">
        <v>1</v>
      </c>
      <c r="R3" s="112">
        <v>2</v>
      </c>
      <c r="U3" s="348" t="s">
        <v>341</v>
      </c>
      <c r="V3">
        <v>4</v>
      </c>
      <c r="W3">
        <f>V3*$M$1</f>
        <v>4</v>
      </c>
      <c r="AO3" s="479" t="s">
        <v>272</v>
      </c>
      <c r="AP3" s="479"/>
    </row>
    <row r="4" spans="1:62" ht="15">
      <c r="A4" s="59">
        <v>3.5</v>
      </c>
      <c r="B4" s="73">
        <v>3500</v>
      </c>
      <c r="C4" s="71">
        <v>10</v>
      </c>
      <c r="D4" s="71">
        <v>20</v>
      </c>
      <c r="E4" s="71">
        <v>6</v>
      </c>
      <c r="F4" s="72">
        <v>12</v>
      </c>
      <c r="G4" s="110">
        <v>0.05</v>
      </c>
      <c r="H4" s="111">
        <f t="shared" ref="H4:H13" si="0">IF(N4=1,C4*$M$1,"")</f>
        <v>10</v>
      </c>
      <c r="I4" s="112">
        <f t="shared" ref="I4:I13" si="1">IF(O4=1,D4*$M$1,"")</f>
        <v>20</v>
      </c>
      <c r="J4" s="111">
        <f t="shared" ref="J4:J13" si="2">IF(P4=1,E4*$M$1,"")</f>
        <v>6</v>
      </c>
      <c r="K4" s="111">
        <f t="shared" ref="K4:K13" si="3">IF(Q4=1,F4*$M$1,"")</f>
        <v>12</v>
      </c>
      <c r="L4" s="112"/>
      <c r="M4" s="73">
        <v>3500</v>
      </c>
      <c r="N4" s="112">
        <v>1</v>
      </c>
      <c r="O4" s="112">
        <v>1</v>
      </c>
      <c r="P4" s="112">
        <v>1</v>
      </c>
      <c r="Q4" s="112">
        <v>1</v>
      </c>
      <c r="R4" s="112">
        <v>2</v>
      </c>
    </row>
    <row r="5" spans="1:62" ht="15">
      <c r="A5" s="25">
        <v>5</v>
      </c>
      <c r="B5" s="73">
        <v>5000</v>
      </c>
      <c r="C5" s="71">
        <v>10</v>
      </c>
      <c r="D5" s="71">
        <v>20</v>
      </c>
      <c r="E5" s="71">
        <v>6</v>
      </c>
      <c r="F5" s="72">
        <v>12</v>
      </c>
      <c r="G5" s="110">
        <v>0.05</v>
      </c>
      <c r="H5" s="111">
        <f t="shared" si="0"/>
        <v>10</v>
      </c>
      <c r="I5" s="112">
        <f t="shared" si="1"/>
        <v>20</v>
      </c>
      <c r="J5" s="111">
        <f t="shared" si="2"/>
        <v>6</v>
      </c>
      <c r="K5" s="111">
        <f t="shared" si="3"/>
        <v>12</v>
      </c>
      <c r="L5" s="112" t="str">
        <f>IF(R5=1,G5*$M$1,"")</f>
        <v/>
      </c>
      <c r="M5" s="73">
        <v>5000</v>
      </c>
      <c r="N5" s="112">
        <v>1</v>
      </c>
      <c r="O5" s="112">
        <v>1</v>
      </c>
      <c r="P5" s="112">
        <v>1</v>
      </c>
      <c r="Q5" s="112">
        <v>1</v>
      </c>
      <c r="R5" s="112">
        <v>2</v>
      </c>
    </row>
    <row r="6" spans="1:62" ht="15">
      <c r="A6" s="25">
        <v>6</v>
      </c>
      <c r="B6" s="73">
        <v>6000</v>
      </c>
      <c r="C6" s="71">
        <v>10</v>
      </c>
      <c r="D6" s="71">
        <v>20</v>
      </c>
      <c r="E6" s="71">
        <v>6</v>
      </c>
      <c r="F6" s="72">
        <v>12</v>
      </c>
      <c r="G6" s="110">
        <v>0.05</v>
      </c>
      <c r="H6" s="111">
        <f t="shared" si="0"/>
        <v>10</v>
      </c>
      <c r="I6" s="112">
        <f t="shared" si="1"/>
        <v>20</v>
      </c>
      <c r="J6" s="111">
        <f t="shared" si="2"/>
        <v>6</v>
      </c>
      <c r="K6" s="111">
        <f t="shared" si="3"/>
        <v>12</v>
      </c>
      <c r="L6" s="112"/>
      <c r="M6" s="73">
        <v>6000</v>
      </c>
      <c r="N6" s="112">
        <v>1</v>
      </c>
      <c r="O6" s="112">
        <v>1</v>
      </c>
      <c r="P6" s="112">
        <v>1</v>
      </c>
      <c r="Q6" s="112">
        <v>1</v>
      </c>
      <c r="R6" s="112">
        <v>2</v>
      </c>
    </row>
    <row r="7" spans="1:62" ht="15">
      <c r="A7" s="59">
        <v>7.5</v>
      </c>
      <c r="B7" s="73">
        <v>7500</v>
      </c>
      <c r="C7" s="71">
        <v>15</v>
      </c>
      <c r="D7" s="84">
        <v>0.3</v>
      </c>
      <c r="E7" s="84">
        <v>0.2</v>
      </c>
      <c r="F7" s="84">
        <v>0.2</v>
      </c>
      <c r="G7" s="110">
        <v>0.05</v>
      </c>
      <c r="H7" s="111">
        <f t="shared" si="0"/>
        <v>15</v>
      </c>
      <c r="I7" s="112" t="str">
        <f t="shared" si="1"/>
        <v/>
      </c>
      <c r="J7" s="111" t="str">
        <f t="shared" si="2"/>
        <v/>
      </c>
      <c r="K7" s="111" t="str">
        <f t="shared" si="3"/>
        <v/>
      </c>
      <c r="L7" s="112" t="str">
        <f t="shared" ref="L7:L13" si="4">IF(R7=1,G7*$M$1,"")</f>
        <v/>
      </c>
      <c r="M7" s="73">
        <v>7500</v>
      </c>
      <c r="N7" s="112">
        <v>1</v>
      </c>
      <c r="O7" s="112">
        <v>2</v>
      </c>
      <c r="P7" s="112">
        <v>2</v>
      </c>
      <c r="Q7" s="112">
        <v>2</v>
      </c>
      <c r="R7" s="112">
        <v>2</v>
      </c>
    </row>
    <row r="8" spans="1:62" ht="15">
      <c r="A8" s="25">
        <v>10</v>
      </c>
      <c r="B8" s="73">
        <v>10000</v>
      </c>
      <c r="C8" s="71">
        <v>15</v>
      </c>
      <c r="D8" s="84">
        <v>0.3</v>
      </c>
      <c r="E8" s="84">
        <v>0.2</v>
      </c>
      <c r="F8" s="84">
        <v>0.2</v>
      </c>
      <c r="G8" s="110">
        <v>0.05</v>
      </c>
      <c r="H8" s="111">
        <f t="shared" si="0"/>
        <v>15</v>
      </c>
      <c r="I8" s="112" t="str">
        <f t="shared" si="1"/>
        <v/>
      </c>
      <c r="J8" s="111" t="str">
        <f t="shared" si="2"/>
        <v/>
      </c>
      <c r="K8" s="111" t="str">
        <f t="shared" si="3"/>
        <v/>
      </c>
      <c r="L8" s="112" t="str">
        <f t="shared" si="4"/>
        <v/>
      </c>
      <c r="M8" s="73">
        <v>10000</v>
      </c>
      <c r="N8" s="112">
        <v>1</v>
      </c>
      <c r="O8" s="112">
        <v>2</v>
      </c>
      <c r="P8" s="112">
        <v>2</v>
      </c>
      <c r="Q8" s="112">
        <v>2</v>
      </c>
      <c r="R8" s="112">
        <v>2</v>
      </c>
      <c r="AO8" s="309" t="s">
        <v>267</v>
      </c>
      <c r="AP8">
        <f>AP12+((AP9-AP10)/(AP11-AP10)*(AP13-AP12))</f>
        <v>149.75</v>
      </c>
    </row>
    <row r="9" spans="1:62" ht="12.75">
      <c r="A9" s="26">
        <v>12</v>
      </c>
      <c r="B9" s="73">
        <v>12000</v>
      </c>
      <c r="C9" s="71">
        <v>15</v>
      </c>
      <c r="D9" s="84">
        <v>0.3</v>
      </c>
      <c r="E9" s="84">
        <v>0.2</v>
      </c>
      <c r="F9" s="84">
        <v>0.2</v>
      </c>
      <c r="G9" s="110">
        <v>0.05</v>
      </c>
      <c r="H9" s="111">
        <f t="shared" si="0"/>
        <v>15</v>
      </c>
      <c r="I9" s="112" t="str">
        <f t="shared" si="1"/>
        <v/>
      </c>
      <c r="J9" s="111" t="str">
        <f t="shared" si="2"/>
        <v/>
      </c>
      <c r="K9" s="111" t="str">
        <f t="shared" si="3"/>
        <v/>
      </c>
      <c r="L9" s="112" t="str">
        <f t="shared" si="4"/>
        <v/>
      </c>
      <c r="M9" s="73">
        <v>12000</v>
      </c>
      <c r="N9" s="112">
        <v>1</v>
      </c>
      <c r="O9" s="112">
        <v>2</v>
      </c>
      <c r="P9" s="112">
        <v>2</v>
      </c>
      <c r="Q9" s="112">
        <v>2</v>
      </c>
      <c r="R9" s="112">
        <v>2</v>
      </c>
      <c r="AO9" t="s">
        <v>262</v>
      </c>
      <c r="AP9">
        <v>15</v>
      </c>
    </row>
    <row r="10" spans="1:62" ht="12.75">
      <c r="A10" s="331">
        <v>1.2</v>
      </c>
      <c r="B10" s="73">
        <v>1200</v>
      </c>
      <c r="C10" s="71">
        <v>6</v>
      </c>
      <c r="D10" s="71">
        <v>15</v>
      </c>
      <c r="E10" s="71">
        <v>3</v>
      </c>
      <c r="F10" s="283">
        <v>6</v>
      </c>
      <c r="G10" s="110">
        <v>0.05</v>
      </c>
      <c r="H10" s="111">
        <f t="shared" si="0"/>
        <v>6</v>
      </c>
      <c r="I10" s="112">
        <f t="shared" si="1"/>
        <v>15</v>
      </c>
      <c r="J10" s="111">
        <f t="shared" si="2"/>
        <v>3</v>
      </c>
      <c r="K10" s="111">
        <f t="shared" si="3"/>
        <v>6</v>
      </c>
      <c r="L10" s="112" t="str">
        <f t="shared" si="4"/>
        <v/>
      </c>
      <c r="M10" s="73">
        <v>1200</v>
      </c>
      <c r="N10" s="112">
        <v>1</v>
      </c>
      <c r="O10" s="112">
        <v>1</v>
      </c>
      <c r="P10" s="112">
        <v>1</v>
      </c>
      <c r="Q10" s="112">
        <v>1</v>
      </c>
      <c r="R10" s="112">
        <v>2</v>
      </c>
      <c r="AO10" t="s">
        <v>263</v>
      </c>
      <c r="AP10">
        <v>10</v>
      </c>
    </row>
    <row r="11" spans="1:62" ht="12.75">
      <c r="A11" s="27">
        <v>15</v>
      </c>
      <c r="B11" s="73">
        <v>15000</v>
      </c>
      <c r="C11" s="71">
        <v>15</v>
      </c>
      <c r="D11" s="84">
        <v>0.3</v>
      </c>
      <c r="E11" s="84">
        <v>0.2</v>
      </c>
      <c r="F11" s="85">
        <v>0.2</v>
      </c>
      <c r="G11" s="110">
        <v>0.05</v>
      </c>
      <c r="H11" s="111">
        <f t="shared" si="0"/>
        <v>15</v>
      </c>
      <c r="I11" s="112" t="str">
        <f t="shared" si="1"/>
        <v/>
      </c>
      <c r="J11" s="111" t="str">
        <f t="shared" si="2"/>
        <v/>
      </c>
      <c r="K11" s="111" t="str">
        <f t="shared" si="3"/>
        <v/>
      </c>
      <c r="L11" s="112" t="str">
        <f t="shared" si="4"/>
        <v/>
      </c>
      <c r="M11" s="73">
        <v>15000</v>
      </c>
      <c r="N11" s="112">
        <v>1</v>
      </c>
      <c r="O11" s="112">
        <v>2</v>
      </c>
      <c r="P11" s="112">
        <v>2</v>
      </c>
      <c r="Q11" s="112">
        <v>2</v>
      </c>
      <c r="R11" s="112">
        <v>2</v>
      </c>
      <c r="AO11" t="s">
        <v>264</v>
      </c>
      <c r="AP11">
        <v>30</v>
      </c>
    </row>
    <row r="12" spans="1:62" ht="12.75">
      <c r="A12" s="330">
        <v>1.5</v>
      </c>
      <c r="B12" s="73">
        <v>1500</v>
      </c>
      <c r="C12" s="71">
        <v>6</v>
      </c>
      <c r="D12" s="71">
        <v>15</v>
      </c>
      <c r="E12" s="71">
        <v>3</v>
      </c>
      <c r="F12" s="283">
        <v>6</v>
      </c>
      <c r="G12" s="110">
        <v>0.05</v>
      </c>
      <c r="H12" s="111">
        <f t="shared" ref="H12" si="5">IF(N12=1,C12*$M$1,"")</f>
        <v>6</v>
      </c>
      <c r="I12" s="112">
        <f t="shared" ref="I12" si="6">IF(O12=1,D12*$M$1,"")</f>
        <v>15</v>
      </c>
      <c r="J12" s="111">
        <f t="shared" ref="J12" si="7">IF(P12=1,E12*$M$1,"")</f>
        <v>3</v>
      </c>
      <c r="K12" s="111">
        <f t="shared" ref="K12" si="8">IF(Q12=1,F12*$M$1,"")</f>
        <v>6</v>
      </c>
      <c r="L12" s="112" t="str">
        <f t="shared" ref="L12" si="9">IF(R12=1,G12*$M$1,"")</f>
        <v/>
      </c>
      <c r="M12" s="73">
        <v>1500</v>
      </c>
      <c r="N12" s="112">
        <v>1</v>
      </c>
      <c r="O12" s="112">
        <v>1</v>
      </c>
      <c r="P12" s="112">
        <v>1</v>
      </c>
      <c r="Q12" s="112">
        <v>1</v>
      </c>
      <c r="R12" s="112">
        <v>2</v>
      </c>
      <c r="AO12" t="s">
        <v>265</v>
      </c>
      <c r="AP12" s="349">
        <f>H16</f>
        <v>137</v>
      </c>
      <c r="AQ12" t="s">
        <v>268</v>
      </c>
    </row>
    <row r="13" spans="1:62" ht="15" customHeight="1">
      <c r="A13" s="25">
        <v>30</v>
      </c>
      <c r="B13" s="73">
        <v>30000</v>
      </c>
      <c r="C13" s="71">
        <v>60</v>
      </c>
      <c r="D13" s="84">
        <v>0.3</v>
      </c>
      <c r="E13" s="84">
        <v>0.2</v>
      </c>
      <c r="F13" s="85">
        <v>0.2</v>
      </c>
      <c r="G13" s="110">
        <v>0.05</v>
      </c>
      <c r="H13" s="111">
        <f t="shared" si="0"/>
        <v>60</v>
      </c>
      <c r="I13" s="112" t="str">
        <f t="shared" si="1"/>
        <v/>
      </c>
      <c r="J13" s="111" t="str">
        <f t="shared" si="2"/>
        <v/>
      </c>
      <c r="K13" s="111" t="str">
        <f t="shared" si="3"/>
        <v/>
      </c>
      <c r="L13" s="112" t="str">
        <f t="shared" si="4"/>
        <v/>
      </c>
      <c r="M13" s="73">
        <v>30000</v>
      </c>
      <c r="N13" s="112">
        <v>1</v>
      </c>
      <c r="O13" s="112">
        <v>2</v>
      </c>
      <c r="P13" s="112">
        <v>2</v>
      </c>
      <c r="Q13" s="112">
        <v>2</v>
      </c>
      <c r="R13" s="112">
        <v>2</v>
      </c>
      <c r="S13" s="310">
        <v>19</v>
      </c>
      <c r="T13" s="310">
        <v>20</v>
      </c>
      <c r="U13" s="310">
        <v>21</v>
      </c>
      <c r="V13" s="310">
        <v>22</v>
      </c>
      <c r="W13" s="310">
        <v>23</v>
      </c>
      <c r="X13" s="310">
        <v>24</v>
      </c>
      <c r="Y13" s="310">
        <v>25</v>
      </c>
      <c r="Z13" s="310">
        <v>26</v>
      </c>
      <c r="AA13" s="310">
        <v>27</v>
      </c>
      <c r="AB13" s="310">
        <v>28</v>
      </c>
      <c r="AC13" s="310">
        <v>29</v>
      </c>
      <c r="AD13" s="310">
        <v>30</v>
      </c>
      <c r="AE13" s="310">
        <v>31</v>
      </c>
      <c r="AF13" s="310">
        <v>32</v>
      </c>
      <c r="AG13" s="310">
        <v>33</v>
      </c>
      <c r="AH13" s="310">
        <v>34</v>
      </c>
      <c r="AI13" s="310">
        <v>35</v>
      </c>
      <c r="AJ13" s="310">
        <v>36</v>
      </c>
      <c r="AK13" s="310">
        <v>37</v>
      </c>
      <c r="AO13" t="s">
        <v>266</v>
      </c>
      <c r="AP13" s="349">
        <f>I16</f>
        <v>188</v>
      </c>
      <c r="AQ13" t="s">
        <v>269</v>
      </c>
      <c r="BA13" t="s">
        <v>350</v>
      </c>
    </row>
    <row r="14" spans="1:62" ht="15.75">
      <c r="A14" s="320">
        <v>1</v>
      </c>
      <c r="B14" s="321">
        <v>2</v>
      </c>
      <c r="C14" s="322">
        <v>3</v>
      </c>
      <c r="D14" s="322">
        <v>4</v>
      </c>
      <c r="E14" s="322">
        <v>5</v>
      </c>
      <c r="F14" s="322">
        <v>6</v>
      </c>
      <c r="G14" s="318">
        <v>7</v>
      </c>
      <c r="H14" s="322">
        <v>8</v>
      </c>
      <c r="I14" s="322">
        <v>9</v>
      </c>
      <c r="J14" s="64" t="s">
        <v>229</v>
      </c>
      <c r="K14" s="65" t="s">
        <v>230</v>
      </c>
      <c r="L14" s="65" t="s">
        <v>231</v>
      </c>
      <c r="M14" s="65" t="s">
        <v>232</v>
      </c>
      <c r="N14" s="65" t="s">
        <v>233</v>
      </c>
      <c r="O14" s="65">
        <v>15</v>
      </c>
      <c r="P14" s="249" t="s">
        <v>234</v>
      </c>
      <c r="Q14" s="252" t="s">
        <v>244</v>
      </c>
      <c r="R14" s="250" t="s">
        <v>245</v>
      </c>
      <c r="S14" s="250"/>
      <c r="T14" s="478" t="s">
        <v>249</v>
      </c>
      <c r="U14" s="478"/>
      <c r="V14" s="478"/>
      <c r="W14" s="478"/>
      <c r="X14" s="478"/>
      <c r="Y14" s="478"/>
      <c r="Z14" s="478"/>
      <c r="AA14" s="478"/>
      <c r="AC14" s="477" t="s">
        <v>240</v>
      </c>
      <c r="AD14" s="477"/>
      <c r="AE14" s="477"/>
      <c r="AF14" s="477"/>
      <c r="AG14" s="477"/>
      <c r="AH14" s="477"/>
      <c r="AI14" s="477"/>
      <c r="AN14">
        <v>40</v>
      </c>
      <c r="AO14">
        <v>41</v>
      </c>
      <c r="AP14">
        <v>42</v>
      </c>
      <c r="AQ14">
        <v>43</v>
      </c>
      <c r="AR14">
        <v>44</v>
      </c>
      <c r="AS14">
        <v>45</v>
      </c>
      <c r="AT14">
        <v>46</v>
      </c>
      <c r="AU14">
        <v>47</v>
      </c>
      <c r="BA14">
        <v>3</v>
      </c>
      <c r="BB14">
        <v>4</v>
      </c>
      <c r="BC14">
        <v>5</v>
      </c>
      <c r="BD14">
        <v>6</v>
      </c>
      <c r="BE14">
        <v>7</v>
      </c>
      <c r="BF14">
        <v>8</v>
      </c>
      <c r="BG14">
        <v>9</v>
      </c>
      <c r="BH14">
        <v>10</v>
      </c>
      <c r="BI14">
        <v>11</v>
      </c>
      <c r="BJ14">
        <v>12</v>
      </c>
    </row>
    <row r="15" spans="1:62" ht="17.25" customHeight="1">
      <c r="A15" s="42" t="s">
        <v>53</v>
      </c>
      <c r="B15" s="39" t="s">
        <v>54</v>
      </c>
      <c r="C15" s="39" t="s">
        <v>121</v>
      </c>
      <c r="D15" s="44" t="s">
        <v>224</v>
      </c>
      <c r="E15" s="44" t="s">
        <v>124</v>
      </c>
      <c r="F15" s="44" t="s">
        <v>208</v>
      </c>
      <c r="G15" s="44" t="s">
        <v>122</v>
      </c>
      <c r="H15" s="44" t="s">
        <v>126</v>
      </c>
      <c r="I15" s="44" t="s">
        <v>127</v>
      </c>
      <c r="J15" s="39" t="s">
        <v>121</v>
      </c>
      <c r="K15" s="44" t="s">
        <v>224</v>
      </c>
      <c r="L15" s="44" t="s">
        <v>124</v>
      </c>
      <c r="M15" s="235" t="s">
        <v>208</v>
      </c>
      <c r="N15" s="44" t="s">
        <v>122</v>
      </c>
      <c r="O15" s="44" t="s">
        <v>126</v>
      </c>
      <c r="P15" s="246" t="s">
        <v>127</v>
      </c>
      <c r="Q15" s="235">
        <v>1.2</v>
      </c>
      <c r="R15" s="235" t="s">
        <v>246</v>
      </c>
      <c r="S15" s="251"/>
      <c r="T15" s="235" t="s">
        <v>246</v>
      </c>
      <c r="U15" s="235" t="s">
        <v>121</v>
      </c>
      <c r="V15" s="235" t="s">
        <v>224</v>
      </c>
      <c r="W15" s="235" t="s">
        <v>124</v>
      </c>
      <c r="X15" s="235" t="s">
        <v>208</v>
      </c>
      <c r="Y15" s="235" t="s">
        <v>122</v>
      </c>
      <c r="Z15" s="235" t="s">
        <v>126</v>
      </c>
      <c r="AA15" s="235" t="s">
        <v>127</v>
      </c>
      <c r="AC15" t="s">
        <v>121</v>
      </c>
      <c r="AD15" t="s">
        <v>224</v>
      </c>
      <c r="AE15" t="s">
        <v>124</v>
      </c>
      <c r="AF15" t="s">
        <v>208</v>
      </c>
      <c r="AG15" t="s">
        <v>122</v>
      </c>
      <c r="AH15" t="s">
        <v>126</v>
      </c>
      <c r="AI15" t="s">
        <v>127</v>
      </c>
      <c r="AM15" t="str">
        <f>A15</f>
        <v>Región Central</v>
      </c>
      <c r="AN15" t="s">
        <v>260</v>
      </c>
      <c r="AO15" t="s">
        <v>270</v>
      </c>
      <c r="AP15" t="s">
        <v>261</v>
      </c>
      <c r="AQ15" t="s">
        <v>271</v>
      </c>
      <c r="AR15" t="s">
        <v>260</v>
      </c>
      <c r="AS15" t="s">
        <v>270</v>
      </c>
      <c r="AT15" t="s">
        <v>261</v>
      </c>
      <c r="AU15" t="s">
        <v>271</v>
      </c>
      <c r="AY15" t="s">
        <v>202</v>
      </c>
      <c r="AZ15" t="s">
        <v>54</v>
      </c>
      <c r="BA15" t="s">
        <v>351</v>
      </c>
      <c r="BB15" t="s">
        <v>121</v>
      </c>
      <c r="BC15" t="s">
        <v>224</v>
      </c>
      <c r="BD15" t="s">
        <v>124</v>
      </c>
      <c r="BE15" t="s">
        <v>208</v>
      </c>
      <c r="BF15" t="s">
        <v>122</v>
      </c>
      <c r="BG15" t="s">
        <v>126</v>
      </c>
      <c r="BH15" t="s">
        <v>270</v>
      </c>
      <c r="BI15" t="s">
        <v>261</v>
      </c>
      <c r="BJ15" t="s">
        <v>127</v>
      </c>
    </row>
    <row r="16" spans="1:62">
      <c r="A16" s="62" t="s">
        <v>50</v>
      </c>
      <c r="B16" s="333">
        <v>10</v>
      </c>
      <c r="C16" s="45">
        <f t="shared" ref="C16:H16" si="10">ROUND(BB16,0)</f>
        <v>84</v>
      </c>
      <c r="D16" s="45">
        <f t="shared" si="10"/>
        <v>94</v>
      </c>
      <c r="E16" s="45">
        <f t="shared" si="10"/>
        <v>111</v>
      </c>
      <c r="F16" s="45">
        <f t="shared" si="10"/>
        <v>122</v>
      </c>
      <c r="G16" s="45">
        <f t="shared" si="10"/>
        <v>130</v>
      </c>
      <c r="H16" s="45">
        <f t="shared" si="10"/>
        <v>137</v>
      </c>
      <c r="I16" s="45">
        <f>ROUND(BJ16,0)</f>
        <v>188</v>
      </c>
      <c r="J16" s="113">
        <f t="shared" ref="J16:J36" si="11">C16*$M$1</f>
        <v>84</v>
      </c>
      <c r="K16" s="113">
        <f t="shared" ref="K16:K36" si="12">D16*$M$1</f>
        <v>94</v>
      </c>
      <c r="L16" s="113">
        <f t="shared" ref="L16:L36" si="13">E16*$M$1</f>
        <v>111</v>
      </c>
      <c r="M16" s="234">
        <f t="shared" ref="M16:M36" si="14">F16*$M$1</f>
        <v>122</v>
      </c>
      <c r="N16" s="113">
        <f t="shared" ref="N16:N36" si="15">G16*$M$1</f>
        <v>130</v>
      </c>
      <c r="O16" s="113">
        <f t="shared" ref="O16:O36" si="16">H16*$M$1</f>
        <v>137</v>
      </c>
      <c r="P16" s="237">
        <f t="shared" ref="P16:P36" si="17">I16*$M$1</f>
        <v>188</v>
      </c>
      <c r="Q16" s="281">
        <f>1.2*C16/2.5</f>
        <v>40.32</v>
      </c>
      <c r="R16" s="282">
        <f>Q16*$M$1</f>
        <v>40.32</v>
      </c>
      <c r="S16" s="236"/>
      <c r="T16" s="236">
        <v>39.479999999999997</v>
      </c>
      <c r="U16" s="236">
        <v>82.24</v>
      </c>
      <c r="V16" s="236">
        <v>92.27</v>
      </c>
      <c r="W16" s="236">
        <v>109.32</v>
      </c>
      <c r="X16" s="236">
        <v>120.43</v>
      </c>
      <c r="Y16" s="236">
        <v>126.82</v>
      </c>
      <c r="Z16" s="236">
        <v>134.28</v>
      </c>
      <c r="AA16" s="236">
        <v>183.5</v>
      </c>
      <c r="AC16">
        <f>C16/(($B$16*2)*2)</f>
        <v>2.1</v>
      </c>
      <c r="AD16">
        <f t="shared" ref="AD16:AD57" si="18">D16/($B$16*2)</f>
        <v>4.7</v>
      </c>
      <c r="AE16">
        <f t="shared" ref="AE16:AE57" si="19">E16/($B$16*2)</f>
        <v>5.55</v>
      </c>
      <c r="AF16">
        <f t="shared" ref="AF16:AF57" si="20">F16/($B$16*2)</f>
        <v>6.1</v>
      </c>
      <c r="AG16">
        <f t="shared" ref="AG16:AG57" si="21">G16/($B$16*2)</f>
        <v>6.5</v>
      </c>
      <c r="AH16">
        <f t="shared" ref="AH16:AH57" si="22">H16/($B$16*2)</f>
        <v>6.85</v>
      </c>
      <c r="AI16">
        <f t="shared" ref="AI16:AI57" si="23">I16/($B$16*2)</f>
        <v>9.4</v>
      </c>
      <c r="AJ16">
        <f t="shared" ref="AJ16:AJ87" si="24">ROUND(((Q16-C16)/(2.5-1))+C16,0)</f>
        <v>55</v>
      </c>
      <c r="AL16" s="294">
        <v>39.36</v>
      </c>
      <c r="AM16" t="str">
        <f t="shared" ref="AM16:AM93" si="25">A16</f>
        <v>MARACAY</v>
      </c>
      <c r="AN16">
        <f>ROUND(H16+((20-10)/(30-10)*(I16-H16)),0)</f>
        <v>163</v>
      </c>
      <c r="AO16" s="352">
        <f>ROUND(BH16,0)</f>
        <v>142</v>
      </c>
      <c r="AP16" s="352">
        <f>ROUND(BI16,0)</f>
        <v>150</v>
      </c>
      <c r="AQ16" s="352">
        <f>ROUND(BA16,0)</f>
        <v>50</v>
      </c>
      <c r="AR16" s="282">
        <f>AN16*$M$1</f>
        <v>163</v>
      </c>
      <c r="AS16" s="282">
        <f t="shared" ref="AS16:AU16" si="26">AO16*$M$1</f>
        <v>142</v>
      </c>
      <c r="AT16" s="282">
        <f t="shared" si="26"/>
        <v>150</v>
      </c>
      <c r="AU16" s="282">
        <f t="shared" si="26"/>
        <v>50</v>
      </c>
      <c r="AY16" t="s">
        <v>50</v>
      </c>
      <c r="AZ16">
        <v>10</v>
      </c>
      <c r="BA16" s="352">
        <v>49.989746024997139</v>
      </c>
      <c r="BB16" s="352">
        <v>83.656309674485016</v>
      </c>
      <c r="BC16" s="352">
        <v>93.858298659178303</v>
      </c>
      <c r="BD16" s="352">
        <v>111.20167993315691</v>
      </c>
      <c r="BE16" s="352">
        <v>122.42075496328096</v>
      </c>
      <c r="BF16" s="352">
        <v>129.56196566947233</v>
      </c>
      <c r="BG16" s="352">
        <v>136.70317637566373</v>
      </c>
      <c r="BH16" s="352">
        <v>141.80111553821064</v>
      </c>
      <c r="BI16" s="352">
        <v>149.95935421620723</v>
      </c>
      <c r="BJ16" s="352">
        <v>187.70070958935827</v>
      </c>
    </row>
    <row r="17" spans="1:62">
      <c r="A17" s="62" t="s">
        <v>55</v>
      </c>
      <c r="B17" s="333">
        <v>13</v>
      </c>
      <c r="C17" s="45">
        <f t="shared" ref="C17:C92" si="27">ROUND(BB17,0)</f>
        <v>92</v>
      </c>
      <c r="D17" s="45">
        <f t="shared" ref="D17:D92" si="28">ROUND(BC17,0)</f>
        <v>105</v>
      </c>
      <c r="E17" s="45">
        <f t="shared" ref="E17:E92" si="29">ROUND(BD17,0)</f>
        <v>123</v>
      </c>
      <c r="F17" s="45">
        <f t="shared" ref="F17:F92" si="30">ROUND(BE17,0)</f>
        <v>132</v>
      </c>
      <c r="G17" s="45">
        <f t="shared" ref="G17:G92" si="31">ROUND(BF17,0)</f>
        <v>138</v>
      </c>
      <c r="H17" s="45">
        <f t="shared" ref="H17:H92" si="32">ROUND(BG17,0)</f>
        <v>147</v>
      </c>
      <c r="I17" s="45">
        <f t="shared" ref="I17:I92" si="33">ROUND(BJ17,0)</f>
        <v>196</v>
      </c>
      <c r="J17" s="113">
        <f t="shared" si="11"/>
        <v>92</v>
      </c>
      <c r="K17" s="113">
        <f t="shared" si="12"/>
        <v>105</v>
      </c>
      <c r="L17" s="113">
        <f t="shared" si="13"/>
        <v>123</v>
      </c>
      <c r="M17" s="234">
        <f t="shared" si="14"/>
        <v>132</v>
      </c>
      <c r="N17" s="113">
        <f t="shared" si="15"/>
        <v>138</v>
      </c>
      <c r="O17" s="113">
        <f t="shared" si="16"/>
        <v>147</v>
      </c>
      <c r="P17" s="237">
        <f t="shared" si="17"/>
        <v>196</v>
      </c>
      <c r="Q17" s="281">
        <f t="shared" ref="Q17:Q94" si="34">1.2*C17/2.5</f>
        <v>44.16</v>
      </c>
      <c r="R17" s="282">
        <f t="shared" ref="R17:R94" si="35">Q17*$M$1</f>
        <v>44.16</v>
      </c>
      <c r="S17" s="236"/>
      <c r="T17" s="236">
        <v>43.36</v>
      </c>
      <c r="U17" s="236">
        <v>90.33</v>
      </c>
      <c r="V17" s="236">
        <v>102.16</v>
      </c>
      <c r="W17" s="236">
        <v>120.44</v>
      </c>
      <c r="X17" s="236">
        <v>128.54</v>
      </c>
      <c r="Y17" s="236">
        <v>135.25</v>
      </c>
      <c r="Z17" s="236">
        <v>143.07</v>
      </c>
      <c r="AA17" s="236">
        <v>190.76</v>
      </c>
      <c r="AC17">
        <f t="shared" ref="AC17:AC58" si="36">C17/($B$16*2)</f>
        <v>4.5999999999999996</v>
      </c>
      <c r="AD17">
        <f t="shared" si="18"/>
        <v>5.25</v>
      </c>
      <c r="AE17">
        <f t="shared" si="19"/>
        <v>6.15</v>
      </c>
      <c r="AF17">
        <f t="shared" si="20"/>
        <v>6.6</v>
      </c>
      <c r="AG17">
        <f t="shared" si="21"/>
        <v>6.9</v>
      </c>
      <c r="AH17">
        <f t="shared" si="22"/>
        <v>7.35</v>
      </c>
      <c r="AI17">
        <f t="shared" si="23"/>
        <v>9.8000000000000007</v>
      </c>
      <c r="AJ17">
        <f t="shared" si="24"/>
        <v>60</v>
      </c>
      <c r="AL17" s="294">
        <v>43.2</v>
      </c>
      <c r="AM17" t="str">
        <f t="shared" si="25"/>
        <v>PALO NEGRO</v>
      </c>
      <c r="AN17">
        <f t="shared" ref="AN17:AN94" si="37">ROUND(H17+((20-10)/(30-10)*(I17-H17)),0)</f>
        <v>172</v>
      </c>
      <c r="AO17" s="352">
        <f t="shared" ref="AO17:AO92" si="38">ROUND(BH17,0)</f>
        <v>152</v>
      </c>
      <c r="AP17" s="352">
        <f t="shared" ref="AP17:AP92" si="39">ROUND(BI17,0)</f>
        <v>159</v>
      </c>
      <c r="AQ17" s="352">
        <f t="shared" ref="AQ17:AQ92" si="40">ROUND(BA17,0)</f>
        <v>55</v>
      </c>
      <c r="AR17" s="282">
        <f t="shared" ref="AR17:AR94" si="41">AN17*$M$1</f>
        <v>172</v>
      </c>
      <c r="AS17" s="282">
        <f t="shared" ref="AS17:AS94" si="42">AO17*$M$1</f>
        <v>152</v>
      </c>
      <c r="AT17" s="282">
        <f t="shared" ref="AT17:AT94" si="43">AP17*$M$1</f>
        <v>159</v>
      </c>
      <c r="AU17" s="282">
        <f t="shared" ref="AU17:AU94" si="44">AQ17*$M$1</f>
        <v>55</v>
      </c>
      <c r="AY17" t="s">
        <v>55</v>
      </c>
      <c r="AZ17">
        <v>13</v>
      </c>
      <c r="BA17" s="352">
        <v>55.327617359140305</v>
      </c>
      <c r="BB17" s="352">
        <v>92.21269559856718</v>
      </c>
      <c r="BC17" s="352">
        <v>104.50772167837613</v>
      </c>
      <c r="BD17" s="352">
        <v>122.95026079808957</v>
      </c>
      <c r="BE17" s="352">
        <v>132.16672105021755</v>
      </c>
      <c r="BF17" s="352">
        <v>138.31401040139045</v>
      </c>
      <c r="BG17" s="352">
        <v>146.51039620295433</v>
      </c>
      <c r="BH17" s="352">
        <v>151.62852083502568</v>
      </c>
      <c r="BI17" s="352">
        <v>158.79548016661943</v>
      </c>
      <c r="BJ17" s="352">
        <v>195.67154133476373</v>
      </c>
    </row>
    <row r="18" spans="1:62" ht="16.5" customHeight="1">
      <c r="A18" s="62" t="s">
        <v>56</v>
      </c>
      <c r="B18" s="333">
        <v>22</v>
      </c>
      <c r="C18" s="45">
        <f t="shared" si="27"/>
        <v>96</v>
      </c>
      <c r="D18" s="45">
        <f t="shared" si="28"/>
        <v>109</v>
      </c>
      <c r="E18" s="45">
        <f t="shared" si="29"/>
        <v>128</v>
      </c>
      <c r="F18" s="45">
        <f t="shared" si="30"/>
        <v>141</v>
      </c>
      <c r="G18" s="45">
        <f t="shared" si="31"/>
        <v>149</v>
      </c>
      <c r="H18" s="45">
        <f t="shared" si="32"/>
        <v>157</v>
      </c>
      <c r="I18" s="45">
        <f t="shared" si="33"/>
        <v>209</v>
      </c>
      <c r="J18" s="113">
        <f t="shared" si="11"/>
        <v>96</v>
      </c>
      <c r="K18" s="113">
        <f t="shared" si="12"/>
        <v>109</v>
      </c>
      <c r="L18" s="113">
        <f t="shared" si="13"/>
        <v>128</v>
      </c>
      <c r="M18" s="234">
        <f t="shared" si="14"/>
        <v>141</v>
      </c>
      <c r="N18" s="113">
        <f t="shared" si="15"/>
        <v>149</v>
      </c>
      <c r="O18" s="113">
        <f t="shared" si="16"/>
        <v>157</v>
      </c>
      <c r="P18" s="237">
        <f t="shared" si="17"/>
        <v>209</v>
      </c>
      <c r="Q18" s="281">
        <f t="shared" si="34"/>
        <v>46.08</v>
      </c>
      <c r="R18" s="282">
        <f t="shared" si="35"/>
        <v>46.08</v>
      </c>
      <c r="S18" s="236"/>
      <c r="T18" s="236">
        <v>44.3</v>
      </c>
      <c r="U18" s="236">
        <v>92.28</v>
      </c>
      <c r="V18" s="236">
        <v>105.16</v>
      </c>
      <c r="W18" s="236">
        <v>123.4</v>
      </c>
      <c r="X18" s="236">
        <v>136.30000000000001</v>
      </c>
      <c r="Y18" s="236">
        <v>143.11000000000001</v>
      </c>
      <c r="Z18" s="236">
        <v>151.06</v>
      </c>
      <c r="AA18" s="236">
        <v>201.41</v>
      </c>
      <c r="AC18">
        <f t="shared" si="36"/>
        <v>4.8</v>
      </c>
      <c r="AD18">
        <f t="shared" si="18"/>
        <v>5.45</v>
      </c>
      <c r="AE18">
        <f t="shared" si="19"/>
        <v>6.4</v>
      </c>
      <c r="AF18">
        <f t="shared" si="20"/>
        <v>7.05</v>
      </c>
      <c r="AG18">
        <f t="shared" si="21"/>
        <v>7.45</v>
      </c>
      <c r="AH18">
        <f t="shared" si="22"/>
        <v>7.85</v>
      </c>
      <c r="AI18">
        <f t="shared" si="23"/>
        <v>10.45</v>
      </c>
      <c r="AJ18">
        <f t="shared" si="24"/>
        <v>63</v>
      </c>
      <c r="AL18" s="294">
        <v>44.16</v>
      </c>
      <c r="AM18" t="str">
        <f t="shared" si="25"/>
        <v>MAGDALENO</v>
      </c>
      <c r="AN18">
        <f t="shared" si="37"/>
        <v>183</v>
      </c>
      <c r="AO18" s="352">
        <f t="shared" si="38"/>
        <v>162</v>
      </c>
      <c r="AP18" s="352">
        <f t="shared" si="39"/>
        <v>170</v>
      </c>
      <c r="AQ18" s="352">
        <f t="shared" si="40"/>
        <v>57</v>
      </c>
      <c r="AR18" s="282">
        <f t="shared" si="41"/>
        <v>183</v>
      </c>
      <c r="AS18" s="282">
        <f t="shared" si="42"/>
        <v>162</v>
      </c>
      <c r="AT18" s="282">
        <f t="shared" si="43"/>
        <v>170</v>
      </c>
      <c r="AU18" s="282">
        <f t="shared" si="44"/>
        <v>57</v>
      </c>
      <c r="AY18" t="s">
        <v>56</v>
      </c>
      <c r="AZ18">
        <v>22</v>
      </c>
      <c r="BA18" s="352">
        <v>57.184444168483886</v>
      </c>
      <c r="BB18" s="352">
        <v>95.653979336373055</v>
      </c>
      <c r="BC18" s="352">
        <v>109.17030250346924</v>
      </c>
      <c r="BD18" s="352">
        <v>127.88521150406396</v>
      </c>
      <c r="BE18" s="352">
        <v>141.38801498097047</v>
      </c>
      <c r="BF18" s="352">
        <v>148.6653392814616</v>
      </c>
      <c r="BG18" s="352">
        <v>156.98228133916575</v>
      </c>
      <c r="BH18" s="352">
        <v>162.16779870884753</v>
      </c>
      <c r="BI18" s="352">
        <v>170.47135375496026</v>
      </c>
      <c r="BJ18" s="352">
        <v>208.91655541284001</v>
      </c>
    </row>
    <row r="19" spans="1:62">
      <c r="A19" s="62" t="s">
        <v>358</v>
      </c>
      <c r="B19" s="333">
        <v>15</v>
      </c>
      <c r="C19" s="45">
        <f t="shared" si="27"/>
        <v>92</v>
      </c>
      <c r="D19" s="45">
        <f t="shared" si="28"/>
        <v>104</v>
      </c>
      <c r="E19" s="45">
        <f t="shared" si="29"/>
        <v>121</v>
      </c>
      <c r="F19" s="45">
        <f t="shared" si="30"/>
        <v>135</v>
      </c>
      <c r="G19" s="45">
        <f t="shared" si="31"/>
        <v>141</v>
      </c>
      <c r="H19" s="45">
        <f t="shared" si="32"/>
        <v>149</v>
      </c>
      <c r="I19" s="45">
        <f t="shared" si="33"/>
        <v>199</v>
      </c>
      <c r="J19" s="113">
        <f t="shared" si="11"/>
        <v>92</v>
      </c>
      <c r="K19" s="113">
        <f t="shared" si="12"/>
        <v>104</v>
      </c>
      <c r="L19" s="113">
        <f t="shared" si="13"/>
        <v>121</v>
      </c>
      <c r="M19" s="234">
        <f t="shared" si="14"/>
        <v>135</v>
      </c>
      <c r="N19" s="113">
        <f t="shared" si="15"/>
        <v>141</v>
      </c>
      <c r="O19" s="113">
        <f t="shared" si="16"/>
        <v>149</v>
      </c>
      <c r="P19" s="237">
        <f t="shared" si="17"/>
        <v>199</v>
      </c>
      <c r="Q19" s="281">
        <f t="shared" si="34"/>
        <v>44.16</v>
      </c>
      <c r="R19" s="282">
        <f t="shared" si="35"/>
        <v>44.16</v>
      </c>
      <c r="S19" s="236"/>
      <c r="T19" s="236">
        <v>42.74</v>
      </c>
      <c r="U19" s="236">
        <v>89.05</v>
      </c>
      <c r="V19" s="236">
        <v>100.57</v>
      </c>
      <c r="W19" s="236">
        <v>118.38</v>
      </c>
      <c r="X19" s="236">
        <v>130.75</v>
      </c>
      <c r="Y19" s="236">
        <v>137.4</v>
      </c>
      <c r="Z19" s="236">
        <v>145.16</v>
      </c>
      <c r="AA19" s="236">
        <v>193.54</v>
      </c>
      <c r="AC19">
        <f t="shared" si="36"/>
        <v>4.5999999999999996</v>
      </c>
      <c r="AD19">
        <f t="shared" si="18"/>
        <v>5.2</v>
      </c>
      <c r="AE19">
        <f t="shared" si="19"/>
        <v>6.05</v>
      </c>
      <c r="AF19">
        <f t="shared" si="20"/>
        <v>6.75</v>
      </c>
      <c r="AG19">
        <f t="shared" si="21"/>
        <v>7.05</v>
      </c>
      <c r="AH19">
        <f t="shared" si="22"/>
        <v>7.45</v>
      </c>
      <c r="AI19">
        <f t="shared" si="23"/>
        <v>9.9499999999999993</v>
      </c>
      <c r="AJ19">
        <f t="shared" si="24"/>
        <v>60</v>
      </c>
      <c r="AL19" s="294">
        <v>42.72</v>
      </c>
      <c r="AM19" t="str">
        <f t="shared" si="25"/>
        <v>CAGUA</v>
      </c>
      <c r="AN19">
        <f t="shared" si="37"/>
        <v>174</v>
      </c>
      <c r="AO19" s="352">
        <f t="shared" si="38"/>
        <v>154</v>
      </c>
      <c r="AP19" s="352">
        <f t="shared" si="39"/>
        <v>161</v>
      </c>
      <c r="AQ19" s="352">
        <f t="shared" si="40"/>
        <v>54</v>
      </c>
      <c r="AR19" s="282">
        <f t="shared" si="41"/>
        <v>174</v>
      </c>
      <c r="AS19" s="282">
        <f t="shared" si="42"/>
        <v>154</v>
      </c>
      <c r="AT19" s="282">
        <f t="shared" si="43"/>
        <v>161</v>
      </c>
      <c r="AU19" s="282">
        <f t="shared" si="44"/>
        <v>54</v>
      </c>
      <c r="AY19" t="s">
        <v>128</v>
      </c>
      <c r="AZ19">
        <v>15</v>
      </c>
      <c r="BA19" s="352">
        <v>54.494231259098633</v>
      </c>
      <c r="BB19" s="352">
        <v>91.509180793580725</v>
      </c>
      <c r="BC19" s="352">
        <v>103.84749730507475</v>
      </c>
      <c r="BD19" s="352">
        <v>121.32677902969129</v>
      </c>
      <c r="BE19" s="352">
        <v>134.68671729680656</v>
      </c>
      <c r="BF19" s="352">
        <v>140.85557457757636</v>
      </c>
      <c r="BG19" s="352">
        <v>149.0807176186027</v>
      </c>
      <c r="BH19" s="352">
        <v>154.21532992931324</v>
      </c>
      <c r="BI19" s="352">
        <v>161.40588875890182</v>
      </c>
      <c r="BJ19" s="352">
        <v>199.43697073345447</v>
      </c>
    </row>
    <row r="20" spans="1:62">
      <c r="A20" s="62" t="s">
        <v>359</v>
      </c>
      <c r="B20" s="333">
        <v>15</v>
      </c>
      <c r="C20" s="45">
        <f t="shared" ref="C20" si="45">ROUND(BB20,0)</f>
        <v>92</v>
      </c>
      <c r="D20" s="45">
        <f t="shared" ref="D20" si="46">ROUND(BC20,0)</f>
        <v>104</v>
      </c>
      <c r="E20" s="45">
        <f t="shared" ref="E20" si="47">ROUND(BD20,0)</f>
        <v>121</v>
      </c>
      <c r="F20" s="45">
        <f t="shared" ref="F20" si="48">ROUND(BE20,0)</f>
        <v>135</v>
      </c>
      <c r="G20" s="45">
        <f t="shared" ref="G20" si="49">ROUND(BF20,0)</f>
        <v>141</v>
      </c>
      <c r="H20" s="45">
        <f t="shared" ref="H20" si="50">ROUND(BG20,0)</f>
        <v>149</v>
      </c>
      <c r="I20" s="45">
        <f t="shared" ref="I20" si="51">ROUND(BJ20,0)</f>
        <v>199</v>
      </c>
      <c r="J20" s="113">
        <f t="shared" ref="J20" si="52">C20*$M$1</f>
        <v>92</v>
      </c>
      <c r="K20" s="113">
        <f t="shared" ref="K20" si="53">D20*$M$1</f>
        <v>104</v>
      </c>
      <c r="L20" s="113">
        <f t="shared" ref="L20" si="54">E20*$M$1</f>
        <v>121</v>
      </c>
      <c r="M20" s="234">
        <f t="shared" ref="M20" si="55">F20*$M$1</f>
        <v>135</v>
      </c>
      <c r="N20" s="113">
        <f t="shared" ref="N20" si="56">G20*$M$1</f>
        <v>141</v>
      </c>
      <c r="O20" s="113">
        <f t="shared" ref="O20" si="57">H20*$M$1</f>
        <v>149</v>
      </c>
      <c r="P20" s="237">
        <f t="shared" ref="P20" si="58">I20*$M$1</f>
        <v>199</v>
      </c>
      <c r="Q20" s="281">
        <f t="shared" ref="Q20" si="59">1.2*C20/2.5</f>
        <v>44.16</v>
      </c>
      <c r="R20" s="282">
        <f t="shared" ref="R20" si="60">Q20*$M$1</f>
        <v>44.16</v>
      </c>
      <c r="S20" s="236"/>
      <c r="T20" s="236">
        <v>42.74</v>
      </c>
      <c r="U20" s="236">
        <v>89.05</v>
      </c>
      <c r="V20" s="236">
        <v>100.57</v>
      </c>
      <c r="W20" s="236">
        <v>118.38</v>
      </c>
      <c r="X20" s="236">
        <v>130.75</v>
      </c>
      <c r="Y20" s="236">
        <v>137.4</v>
      </c>
      <c r="Z20" s="236">
        <v>145.16</v>
      </c>
      <c r="AA20" s="236">
        <v>193.54</v>
      </c>
      <c r="AC20">
        <f t="shared" ref="AC20" si="61">C20/($B$16*2)</f>
        <v>4.5999999999999996</v>
      </c>
      <c r="AD20">
        <f t="shared" ref="AD20" si="62">D20/($B$16*2)</f>
        <v>5.2</v>
      </c>
      <c r="AE20">
        <f t="shared" ref="AE20" si="63">E20/($B$16*2)</f>
        <v>6.05</v>
      </c>
      <c r="AF20">
        <f t="shared" ref="AF20" si="64">F20/($B$16*2)</f>
        <v>6.75</v>
      </c>
      <c r="AG20">
        <f t="shared" ref="AG20" si="65">G20/($B$16*2)</f>
        <v>7.05</v>
      </c>
      <c r="AH20">
        <f t="shared" ref="AH20" si="66">H20/($B$16*2)</f>
        <v>7.45</v>
      </c>
      <c r="AI20">
        <f t="shared" ref="AI20" si="67">I20/($B$16*2)</f>
        <v>9.9499999999999993</v>
      </c>
      <c r="AJ20">
        <f t="shared" ref="AJ20" si="68">ROUND(((Q20-C20)/(2.5-1))+C20,0)</f>
        <v>60</v>
      </c>
      <c r="AL20" s="354">
        <v>42.72</v>
      </c>
      <c r="AM20" t="str">
        <f t="shared" ref="AM20" si="69">A20</f>
        <v>TURMERO</v>
      </c>
      <c r="AN20">
        <f t="shared" ref="AN20" si="70">ROUND(H20+((20-10)/(30-10)*(I20-H20)),0)</f>
        <v>174</v>
      </c>
      <c r="AO20" s="352">
        <f t="shared" ref="AO20" si="71">ROUND(BH20,0)</f>
        <v>154</v>
      </c>
      <c r="AP20" s="352">
        <f t="shared" ref="AP20" si="72">ROUND(BI20,0)</f>
        <v>161</v>
      </c>
      <c r="AQ20" s="352">
        <f t="shared" ref="AQ20" si="73">ROUND(BA20,0)</f>
        <v>54</v>
      </c>
      <c r="AR20" s="282">
        <f t="shared" ref="AR20" si="74">AN20*$M$1</f>
        <v>174</v>
      </c>
      <c r="AS20" s="282">
        <f t="shared" ref="AS20" si="75">AO20*$M$1</f>
        <v>154</v>
      </c>
      <c r="AT20" s="282">
        <f t="shared" ref="AT20" si="76">AP20*$M$1</f>
        <v>161</v>
      </c>
      <c r="AU20" s="282">
        <f t="shared" ref="AU20" si="77">AQ20*$M$1</f>
        <v>54</v>
      </c>
      <c r="AY20" t="s">
        <v>128</v>
      </c>
      <c r="AZ20">
        <v>15</v>
      </c>
      <c r="BA20" s="352">
        <v>54.494231259098633</v>
      </c>
      <c r="BB20" s="352">
        <v>91.509180793580725</v>
      </c>
      <c r="BC20" s="352">
        <v>103.84749730507475</v>
      </c>
      <c r="BD20" s="352">
        <v>121.32677902969129</v>
      </c>
      <c r="BE20" s="352">
        <v>134.68671729680656</v>
      </c>
      <c r="BF20" s="352">
        <v>140.85557457757636</v>
      </c>
      <c r="BG20" s="352">
        <v>149.0807176186027</v>
      </c>
      <c r="BH20" s="352">
        <v>154.21532992931324</v>
      </c>
      <c r="BI20" s="352">
        <v>161.40588875890182</v>
      </c>
      <c r="BJ20" s="352">
        <v>199.43697073345447</v>
      </c>
    </row>
    <row r="21" spans="1:62">
      <c r="A21" s="62" t="s">
        <v>360</v>
      </c>
      <c r="B21" s="333">
        <v>25</v>
      </c>
      <c r="C21" s="45">
        <f t="shared" si="27"/>
        <v>100</v>
      </c>
      <c r="D21" s="45">
        <f t="shared" si="28"/>
        <v>114</v>
      </c>
      <c r="E21" s="45">
        <f t="shared" si="29"/>
        <v>135</v>
      </c>
      <c r="F21" s="45">
        <f t="shared" si="30"/>
        <v>148</v>
      </c>
      <c r="G21" s="45">
        <f t="shared" si="31"/>
        <v>155</v>
      </c>
      <c r="H21" s="45">
        <f t="shared" si="32"/>
        <v>164</v>
      </c>
      <c r="I21" s="45">
        <f t="shared" si="33"/>
        <v>219</v>
      </c>
      <c r="J21" s="113">
        <f t="shared" si="11"/>
        <v>100</v>
      </c>
      <c r="K21" s="113">
        <f t="shared" si="12"/>
        <v>114</v>
      </c>
      <c r="L21" s="113">
        <f t="shared" si="13"/>
        <v>135</v>
      </c>
      <c r="M21" s="234">
        <f t="shared" si="14"/>
        <v>148</v>
      </c>
      <c r="N21" s="113">
        <f t="shared" si="15"/>
        <v>155</v>
      </c>
      <c r="O21" s="113">
        <f t="shared" si="16"/>
        <v>164</v>
      </c>
      <c r="P21" s="237">
        <f t="shared" si="17"/>
        <v>219</v>
      </c>
      <c r="Q21" s="281">
        <f t="shared" si="34"/>
        <v>48</v>
      </c>
      <c r="R21" s="282">
        <f t="shared" si="35"/>
        <v>48</v>
      </c>
      <c r="S21" s="236"/>
      <c r="T21" s="236">
        <v>46.22</v>
      </c>
      <c r="U21" s="236">
        <v>96.3</v>
      </c>
      <c r="V21" s="236">
        <v>109.29</v>
      </c>
      <c r="W21" s="236">
        <v>128.76</v>
      </c>
      <c r="X21" s="236">
        <v>142.44</v>
      </c>
      <c r="Y21" s="236">
        <v>149.33000000000001</v>
      </c>
      <c r="Z21" s="236">
        <v>157.37</v>
      </c>
      <c r="AA21" s="236">
        <v>209.82</v>
      </c>
      <c r="AC21">
        <f t="shared" si="36"/>
        <v>5</v>
      </c>
      <c r="AD21">
        <f t="shared" si="18"/>
        <v>5.7</v>
      </c>
      <c r="AE21">
        <f t="shared" si="19"/>
        <v>6.75</v>
      </c>
      <c r="AF21">
        <f t="shared" si="20"/>
        <v>7.4</v>
      </c>
      <c r="AG21">
        <f t="shared" si="21"/>
        <v>7.75</v>
      </c>
      <c r="AH21">
        <f t="shared" si="22"/>
        <v>8.1999999999999993</v>
      </c>
      <c r="AI21">
        <f t="shared" si="23"/>
        <v>10.95</v>
      </c>
      <c r="AJ21">
        <f t="shared" si="24"/>
        <v>65</v>
      </c>
      <c r="AL21" s="294">
        <v>46.08</v>
      </c>
      <c r="AM21" t="str">
        <f t="shared" si="25"/>
        <v>MARIARA</v>
      </c>
      <c r="AN21">
        <f t="shared" si="37"/>
        <v>192</v>
      </c>
      <c r="AO21" s="352">
        <f t="shared" si="38"/>
        <v>169</v>
      </c>
      <c r="AP21" s="352">
        <f t="shared" si="39"/>
        <v>177</v>
      </c>
      <c r="AQ21" s="352">
        <f t="shared" si="40"/>
        <v>61</v>
      </c>
      <c r="AR21" s="282">
        <f t="shared" si="41"/>
        <v>192</v>
      </c>
      <c r="AS21" s="282">
        <f t="shared" si="42"/>
        <v>169</v>
      </c>
      <c r="AT21" s="282">
        <f t="shared" si="43"/>
        <v>177</v>
      </c>
      <c r="AU21" s="282">
        <f t="shared" si="44"/>
        <v>61</v>
      </c>
      <c r="AY21" t="s">
        <v>57</v>
      </c>
      <c r="AZ21">
        <v>25</v>
      </c>
      <c r="BA21" s="352">
        <v>60.512426666387746</v>
      </c>
      <c r="BB21" s="352">
        <v>100.15849930988315</v>
      </c>
      <c r="BC21" s="352">
        <v>113.72162942476317</v>
      </c>
      <c r="BD21" s="352">
        <v>134.58798344765549</v>
      </c>
      <c r="BE21" s="352">
        <v>148.13443341664646</v>
      </c>
      <c r="BF21" s="352">
        <v>155.43683506394595</v>
      </c>
      <c r="BG21" s="352">
        <v>163.78243694657391</v>
      </c>
      <c r="BH21" s="352">
        <v>168.98288374540681</v>
      </c>
      <c r="BI21" s="352">
        <v>177.31196638839049</v>
      </c>
      <c r="BJ21" s="352">
        <v>219.01396423129984</v>
      </c>
    </row>
    <row r="22" spans="1:62">
      <c r="A22" s="62" t="s">
        <v>361</v>
      </c>
      <c r="B22" s="333">
        <v>25</v>
      </c>
      <c r="C22" s="45">
        <f t="shared" ref="C22" si="78">ROUND(BB22,0)</f>
        <v>100</v>
      </c>
      <c r="D22" s="45">
        <f t="shared" ref="D22" si="79">ROUND(BC22,0)</f>
        <v>114</v>
      </c>
      <c r="E22" s="45">
        <f t="shared" ref="E22" si="80">ROUND(BD22,0)</f>
        <v>135</v>
      </c>
      <c r="F22" s="45">
        <f t="shared" ref="F22" si="81">ROUND(BE22,0)</f>
        <v>148</v>
      </c>
      <c r="G22" s="45">
        <f t="shared" ref="G22" si="82">ROUND(BF22,0)</f>
        <v>155</v>
      </c>
      <c r="H22" s="45">
        <f t="shared" ref="H22" si="83">ROUND(BG22,0)</f>
        <v>164</v>
      </c>
      <c r="I22" s="45">
        <f t="shared" ref="I22" si="84">ROUND(BJ22,0)</f>
        <v>219</v>
      </c>
      <c r="J22" s="113">
        <f t="shared" ref="J22" si="85">C22*$M$1</f>
        <v>100</v>
      </c>
      <c r="K22" s="113">
        <f t="shared" ref="K22" si="86">D22*$M$1</f>
        <v>114</v>
      </c>
      <c r="L22" s="113">
        <f t="shared" ref="L22" si="87">E22*$M$1</f>
        <v>135</v>
      </c>
      <c r="M22" s="234">
        <f t="shared" ref="M22" si="88">F22*$M$1</f>
        <v>148</v>
      </c>
      <c r="N22" s="113">
        <f t="shared" ref="N22" si="89">G22*$M$1</f>
        <v>155</v>
      </c>
      <c r="O22" s="113">
        <f t="shared" ref="O22" si="90">H22*$M$1</f>
        <v>164</v>
      </c>
      <c r="P22" s="237">
        <f t="shared" ref="P22" si="91">I22*$M$1</f>
        <v>219</v>
      </c>
      <c r="Q22" s="281">
        <f t="shared" ref="Q22" si="92">1.2*C22/2.5</f>
        <v>48</v>
      </c>
      <c r="R22" s="282">
        <f t="shared" ref="R22" si="93">Q22*$M$1</f>
        <v>48</v>
      </c>
      <c r="S22" s="236"/>
      <c r="T22" s="236">
        <v>46.22</v>
      </c>
      <c r="U22" s="236">
        <v>96.3</v>
      </c>
      <c r="V22" s="236">
        <v>109.29</v>
      </c>
      <c r="W22" s="236">
        <v>128.76</v>
      </c>
      <c r="X22" s="236">
        <v>142.44</v>
      </c>
      <c r="Y22" s="236">
        <v>149.33000000000001</v>
      </c>
      <c r="Z22" s="236">
        <v>157.37</v>
      </c>
      <c r="AA22" s="236">
        <v>209.82</v>
      </c>
      <c r="AC22">
        <f t="shared" ref="AC22" si="94">C22/($B$16*2)</f>
        <v>5</v>
      </c>
      <c r="AD22">
        <f t="shared" ref="AD22" si="95">D22/($B$16*2)</f>
        <v>5.7</v>
      </c>
      <c r="AE22">
        <f t="shared" ref="AE22" si="96">E22/($B$16*2)</f>
        <v>6.75</v>
      </c>
      <c r="AF22">
        <f t="shared" ref="AF22" si="97">F22/($B$16*2)</f>
        <v>7.4</v>
      </c>
      <c r="AG22">
        <f t="shared" ref="AG22" si="98">G22/($B$16*2)</f>
        <v>7.75</v>
      </c>
      <c r="AH22">
        <f t="shared" ref="AH22" si="99">H22/($B$16*2)</f>
        <v>8.1999999999999993</v>
      </c>
      <c r="AI22">
        <f t="shared" ref="AI22" si="100">I22/($B$16*2)</f>
        <v>10.95</v>
      </c>
      <c r="AJ22">
        <f t="shared" ref="AJ22" si="101">ROUND(((Q22-C22)/(2.5-1))+C22,0)</f>
        <v>65</v>
      </c>
      <c r="AL22" s="354">
        <v>46.08</v>
      </c>
      <c r="AM22" t="str">
        <f t="shared" ref="AM22" si="102">A22</f>
        <v>SAN JOAQUIN</v>
      </c>
      <c r="AN22">
        <f t="shared" ref="AN22" si="103">ROUND(H22+((20-10)/(30-10)*(I22-H22)),0)</f>
        <v>192</v>
      </c>
      <c r="AO22" s="352">
        <f t="shared" ref="AO22" si="104">ROUND(BH22,0)</f>
        <v>169</v>
      </c>
      <c r="AP22" s="352">
        <f t="shared" ref="AP22" si="105">ROUND(BI22,0)</f>
        <v>177</v>
      </c>
      <c r="AQ22" s="352">
        <f t="shared" ref="AQ22" si="106">ROUND(BA22,0)</f>
        <v>61</v>
      </c>
      <c r="AR22" s="282">
        <f t="shared" ref="AR22" si="107">AN22*$M$1</f>
        <v>192</v>
      </c>
      <c r="AS22" s="282">
        <f t="shared" ref="AS22" si="108">AO22*$M$1</f>
        <v>169</v>
      </c>
      <c r="AT22" s="282">
        <f t="shared" ref="AT22" si="109">AP22*$M$1</f>
        <v>177</v>
      </c>
      <c r="AU22" s="282">
        <f t="shared" ref="AU22" si="110">AQ22*$M$1</f>
        <v>61</v>
      </c>
      <c r="AY22" t="s">
        <v>57</v>
      </c>
      <c r="AZ22">
        <v>25</v>
      </c>
      <c r="BA22" s="352">
        <v>60.512426666387746</v>
      </c>
      <c r="BB22" s="352">
        <v>100.15849930988315</v>
      </c>
      <c r="BC22" s="352">
        <v>113.72162942476317</v>
      </c>
      <c r="BD22" s="352">
        <v>134.58798344765549</v>
      </c>
      <c r="BE22" s="352">
        <v>148.13443341664646</v>
      </c>
      <c r="BF22" s="352">
        <v>155.43683506394595</v>
      </c>
      <c r="BG22" s="352">
        <v>163.78243694657391</v>
      </c>
      <c r="BH22" s="352">
        <v>168.98288374540681</v>
      </c>
      <c r="BI22" s="352">
        <v>177.31196638839049</v>
      </c>
      <c r="BJ22" s="352">
        <v>219.01396423129984</v>
      </c>
    </row>
    <row r="23" spans="1:62">
      <c r="A23" s="62" t="s">
        <v>274</v>
      </c>
      <c r="B23" s="333">
        <v>38</v>
      </c>
      <c r="C23" s="45">
        <f t="shared" si="27"/>
        <v>109</v>
      </c>
      <c r="D23" s="45">
        <f t="shared" si="28"/>
        <v>125</v>
      </c>
      <c r="E23" s="45">
        <f t="shared" si="29"/>
        <v>146</v>
      </c>
      <c r="F23" s="45">
        <f t="shared" si="30"/>
        <v>162</v>
      </c>
      <c r="G23" s="45">
        <f t="shared" si="31"/>
        <v>170</v>
      </c>
      <c r="H23" s="45">
        <f t="shared" si="32"/>
        <v>178</v>
      </c>
      <c r="I23" s="45">
        <f t="shared" si="33"/>
        <v>250</v>
      </c>
      <c r="J23" s="113">
        <f t="shared" si="11"/>
        <v>109</v>
      </c>
      <c r="K23" s="113">
        <f t="shared" si="12"/>
        <v>125</v>
      </c>
      <c r="L23" s="113">
        <f t="shared" si="13"/>
        <v>146</v>
      </c>
      <c r="M23" s="234">
        <f t="shared" si="14"/>
        <v>162</v>
      </c>
      <c r="N23" s="113">
        <f t="shared" si="15"/>
        <v>170</v>
      </c>
      <c r="O23" s="113">
        <f t="shared" si="16"/>
        <v>178</v>
      </c>
      <c r="P23" s="237">
        <f t="shared" si="17"/>
        <v>250</v>
      </c>
      <c r="Q23" s="281">
        <f t="shared" si="34"/>
        <v>52.319999999999993</v>
      </c>
      <c r="R23" s="282">
        <f t="shared" si="35"/>
        <v>52.319999999999993</v>
      </c>
      <c r="S23" s="236"/>
      <c r="T23" s="236">
        <v>49.51</v>
      </c>
      <c r="U23" s="236">
        <v>103.15</v>
      </c>
      <c r="V23" s="236">
        <v>117.89</v>
      </c>
      <c r="W23" s="236">
        <v>137.88999999999999</v>
      </c>
      <c r="X23" s="236">
        <v>153.44</v>
      </c>
      <c r="Y23" s="236">
        <v>160.21</v>
      </c>
      <c r="Z23" s="236">
        <v>168.1</v>
      </c>
      <c r="AA23" s="236">
        <v>235.7</v>
      </c>
      <c r="AC23">
        <f t="shared" si="36"/>
        <v>5.45</v>
      </c>
      <c r="AD23">
        <f t="shared" si="18"/>
        <v>6.25</v>
      </c>
      <c r="AE23">
        <f t="shared" si="19"/>
        <v>7.3</v>
      </c>
      <c r="AF23">
        <f t="shared" si="20"/>
        <v>8.1</v>
      </c>
      <c r="AG23">
        <f t="shared" si="21"/>
        <v>8.5</v>
      </c>
      <c r="AH23">
        <f t="shared" si="22"/>
        <v>8.9</v>
      </c>
      <c r="AI23">
        <f t="shared" si="23"/>
        <v>12.5</v>
      </c>
      <c r="AJ23">
        <f t="shared" si="24"/>
        <v>71</v>
      </c>
      <c r="AL23" s="294">
        <v>49.44</v>
      </c>
      <c r="AM23" t="str">
        <f t="shared" si="25"/>
        <v>GUACARA</v>
      </c>
      <c r="AN23">
        <f t="shared" si="37"/>
        <v>214</v>
      </c>
      <c r="AO23" s="352">
        <f t="shared" si="38"/>
        <v>186</v>
      </c>
      <c r="AP23" s="352">
        <f t="shared" si="39"/>
        <v>196</v>
      </c>
      <c r="AQ23" s="352">
        <f t="shared" si="40"/>
        <v>66</v>
      </c>
      <c r="AR23" s="282">
        <f t="shared" si="41"/>
        <v>214</v>
      </c>
      <c r="AS23" s="282">
        <f t="shared" si="42"/>
        <v>186</v>
      </c>
      <c r="AT23" s="282">
        <f t="shared" si="43"/>
        <v>196</v>
      </c>
      <c r="AU23" s="282">
        <f t="shared" si="44"/>
        <v>66</v>
      </c>
      <c r="AY23" t="s">
        <v>58</v>
      </c>
      <c r="AZ23">
        <v>38</v>
      </c>
      <c r="BA23" s="352">
        <v>65.768176882276876</v>
      </c>
      <c r="BB23" s="352">
        <v>109.26003578829868</v>
      </c>
      <c r="BC23" s="352">
        <v>125.17169148562373</v>
      </c>
      <c r="BD23" s="352">
        <v>146.38723241539046</v>
      </c>
      <c r="BE23" s="352">
        <v>162.26307719408251</v>
      </c>
      <c r="BF23" s="352">
        <v>169.68687811145884</v>
      </c>
      <c r="BG23" s="352">
        <v>178.17122201703179</v>
      </c>
      <c r="BH23" s="352">
        <v>185.56162145015367</v>
      </c>
      <c r="BI23" s="352">
        <v>196.13144727796777</v>
      </c>
      <c r="BJ23" s="352">
        <v>250.15968868952632</v>
      </c>
    </row>
    <row r="24" spans="1:62">
      <c r="A24" s="62" t="s">
        <v>362</v>
      </c>
      <c r="B24" s="333">
        <v>38</v>
      </c>
      <c r="C24" s="45">
        <f t="shared" ref="C24" si="111">ROUND(BB24,0)</f>
        <v>109</v>
      </c>
      <c r="D24" s="45">
        <f t="shared" ref="D24" si="112">ROUND(BC24,0)</f>
        <v>125</v>
      </c>
      <c r="E24" s="45">
        <f t="shared" ref="E24" si="113">ROUND(BD24,0)</f>
        <v>146</v>
      </c>
      <c r="F24" s="45">
        <f t="shared" ref="F24" si="114">ROUND(BE24,0)</f>
        <v>162</v>
      </c>
      <c r="G24" s="45">
        <f t="shared" ref="G24" si="115">ROUND(BF24,0)</f>
        <v>170</v>
      </c>
      <c r="H24" s="45">
        <f t="shared" ref="H24" si="116">ROUND(BG24,0)</f>
        <v>178</v>
      </c>
      <c r="I24" s="45">
        <f t="shared" ref="I24" si="117">ROUND(BJ24,0)</f>
        <v>250</v>
      </c>
      <c r="J24" s="113">
        <f t="shared" ref="J24" si="118">C24*$M$1</f>
        <v>109</v>
      </c>
      <c r="K24" s="113">
        <f t="shared" ref="K24" si="119">D24*$M$1</f>
        <v>125</v>
      </c>
      <c r="L24" s="113">
        <f t="shared" ref="L24" si="120">E24*$M$1</f>
        <v>146</v>
      </c>
      <c r="M24" s="234">
        <f t="shared" ref="M24" si="121">F24*$M$1</f>
        <v>162</v>
      </c>
      <c r="N24" s="113">
        <f t="shared" ref="N24" si="122">G24*$M$1</f>
        <v>170</v>
      </c>
      <c r="O24" s="113">
        <f t="shared" ref="O24" si="123">H24*$M$1</f>
        <v>178</v>
      </c>
      <c r="P24" s="237">
        <f t="shared" ref="P24" si="124">I24*$M$1</f>
        <v>250</v>
      </c>
      <c r="Q24" s="281">
        <f t="shared" ref="Q24" si="125">1.2*C24/2.5</f>
        <v>52.319999999999993</v>
      </c>
      <c r="R24" s="282">
        <f t="shared" ref="R24" si="126">Q24*$M$1</f>
        <v>52.319999999999993</v>
      </c>
      <c r="S24" s="236"/>
      <c r="T24" s="236">
        <v>49.51</v>
      </c>
      <c r="U24" s="236">
        <v>103.15</v>
      </c>
      <c r="V24" s="236">
        <v>117.89</v>
      </c>
      <c r="W24" s="236">
        <v>137.88999999999999</v>
      </c>
      <c r="X24" s="236">
        <v>153.44</v>
      </c>
      <c r="Y24" s="236">
        <v>160.21</v>
      </c>
      <c r="Z24" s="236">
        <v>168.1</v>
      </c>
      <c r="AA24" s="236">
        <v>235.7</v>
      </c>
      <c r="AC24">
        <f t="shared" ref="AC24" si="127">C24/($B$16*2)</f>
        <v>5.45</v>
      </c>
      <c r="AD24">
        <f t="shared" ref="AD24" si="128">D24/($B$16*2)</f>
        <v>6.25</v>
      </c>
      <c r="AE24">
        <f t="shared" ref="AE24" si="129">E24/($B$16*2)</f>
        <v>7.3</v>
      </c>
      <c r="AF24">
        <f t="shared" ref="AF24" si="130">F24/($B$16*2)</f>
        <v>8.1</v>
      </c>
      <c r="AG24">
        <f t="shared" ref="AG24" si="131">G24/($B$16*2)</f>
        <v>8.5</v>
      </c>
      <c r="AH24">
        <f t="shared" ref="AH24" si="132">H24/($B$16*2)</f>
        <v>8.9</v>
      </c>
      <c r="AI24">
        <f t="shared" ref="AI24" si="133">I24/($B$16*2)</f>
        <v>12.5</v>
      </c>
      <c r="AJ24">
        <f t="shared" ref="AJ24" si="134">ROUND(((Q24-C24)/(2.5-1))+C24,0)</f>
        <v>71</v>
      </c>
      <c r="AL24" s="354">
        <v>49.44</v>
      </c>
      <c r="AM24" t="str">
        <f t="shared" ref="AM24" si="135">A24</f>
        <v>LOS GUAYOS</v>
      </c>
      <c r="AN24">
        <f t="shared" ref="AN24" si="136">ROUND(H24+((20-10)/(30-10)*(I24-H24)),0)</f>
        <v>214</v>
      </c>
      <c r="AO24" s="352">
        <f t="shared" ref="AO24" si="137">ROUND(BH24,0)</f>
        <v>186</v>
      </c>
      <c r="AP24" s="352">
        <f t="shared" ref="AP24" si="138">ROUND(BI24,0)</f>
        <v>196</v>
      </c>
      <c r="AQ24" s="352">
        <f t="shared" ref="AQ24" si="139">ROUND(BA24,0)</f>
        <v>66</v>
      </c>
      <c r="AR24" s="282">
        <f t="shared" ref="AR24" si="140">AN24*$M$1</f>
        <v>214</v>
      </c>
      <c r="AS24" s="282">
        <f t="shared" ref="AS24" si="141">AO24*$M$1</f>
        <v>186</v>
      </c>
      <c r="AT24" s="282">
        <f t="shared" ref="AT24" si="142">AP24*$M$1</f>
        <v>196</v>
      </c>
      <c r="AU24" s="282">
        <f t="shared" ref="AU24" si="143">AQ24*$M$1</f>
        <v>66</v>
      </c>
      <c r="AY24" t="s">
        <v>58</v>
      </c>
      <c r="AZ24">
        <v>38</v>
      </c>
      <c r="BA24" s="352">
        <v>65.768176882276876</v>
      </c>
      <c r="BB24" s="352">
        <v>109.26003578829868</v>
      </c>
      <c r="BC24" s="352">
        <v>125.17169148562373</v>
      </c>
      <c r="BD24" s="352">
        <v>146.38723241539046</v>
      </c>
      <c r="BE24" s="352">
        <v>162.26307719408251</v>
      </c>
      <c r="BF24" s="352">
        <v>169.68687811145884</v>
      </c>
      <c r="BG24" s="352">
        <v>178.17122201703179</v>
      </c>
      <c r="BH24" s="352">
        <v>185.56162145015367</v>
      </c>
      <c r="BI24" s="352">
        <v>196.13144727796777</v>
      </c>
      <c r="BJ24" s="352">
        <v>250.15968868952632</v>
      </c>
    </row>
    <row r="25" spans="1:62">
      <c r="A25" s="62" t="s">
        <v>209</v>
      </c>
      <c r="B25" s="333">
        <v>42</v>
      </c>
      <c r="C25" s="45">
        <f t="shared" si="27"/>
        <v>108</v>
      </c>
      <c r="D25" s="45">
        <f t="shared" si="28"/>
        <v>122</v>
      </c>
      <c r="E25" s="45">
        <f t="shared" si="29"/>
        <v>142</v>
      </c>
      <c r="F25" s="45">
        <f t="shared" si="30"/>
        <v>156</v>
      </c>
      <c r="G25" s="45">
        <f t="shared" si="31"/>
        <v>166</v>
      </c>
      <c r="H25" s="45">
        <f t="shared" si="32"/>
        <v>173</v>
      </c>
      <c r="I25" s="45">
        <f t="shared" si="33"/>
        <v>246</v>
      </c>
      <c r="J25" s="113">
        <f t="shared" si="11"/>
        <v>108</v>
      </c>
      <c r="K25" s="113">
        <f t="shared" si="12"/>
        <v>122</v>
      </c>
      <c r="L25" s="113">
        <f t="shared" si="13"/>
        <v>142</v>
      </c>
      <c r="M25" s="234">
        <f t="shared" si="14"/>
        <v>156</v>
      </c>
      <c r="N25" s="113">
        <f t="shared" si="15"/>
        <v>166</v>
      </c>
      <c r="O25" s="113">
        <f t="shared" si="16"/>
        <v>173</v>
      </c>
      <c r="P25" s="237">
        <f t="shared" si="17"/>
        <v>246</v>
      </c>
      <c r="Q25" s="281">
        <f t="shared" si="34"/>
        <v>51.839999999999996</v>
      </c>
      <c r="R25" s="282">
        <f t="shared" si="35"/>
        <v>51.839999999999996</v>
      </c>
      <c r="S25" s="236"/>
      <c r="T25" s="236">
        <v>48.37</v>
      </c>
      <c r="U25" s="236">
        <v>100.76</v>
      </c>
      <c r="V25" s="236">
        <v>113.86</v>
      </c>
      <c r="W25" s="236">
        <v>133.01</v>
      </c>
      <c r="X25" s="236">
        <v>146.34</v>
      </c>
      <c r="Y25" s="236">
        <v>154.88</v>
      </c>
      <c r="Z25" s="236">
        <v>162.36000000000001</v>
      </c>
      <c r="AA25" s="236">
        <v>230.36</v>
      </c>
      <c r="AC25">
        <f t="shared" si="36"/>
        <v>5.4</v>
      </c>
      <c r="AD25">
        <f t="shared" si="18"/>
        <v>6.1</v>
      </c>
      <c r="AE25">
        <f t="shared" si="19"/>
        <v>7.1</v>
      </c>
      <c r="AF25">
        <f t="shared" si="20"/>
        <v>7.8</v>
      </c>
      <c r="AG25">
        <f t="shared" si="21"/>
        <v>8.3000000000000007</v>
      </c>
      <c r="AH25">
        <f t="shared" si="22"/>
        <v>8.65</v>
      </c>
      <c r="AI25">
        <f t="shared" si="23"/>
        <v>12.3</v>
      </c>
      <c r="AJ25">
        <f t="shared" si="24"/>
        <v>71</v>
      </c>
      <c r="AL25" s="294">
        <v>48.48</v>
      </c>
      <c r="AM25" t="str">
        <f t="shared" si="25"/>
        <v>VILLA DE CURA</v>
      </c>
      <c r="AN25">
        <f t="shared" si="37"/>
        <v>210</v>
      </c>
      <c r="AO25" s="352">
        <f t="shared" si="38"/>
        <v>181</v>
      </c>
      <c r="AP25" s="352">
        <f t="shared" si="39"/>
        <v>191</v>
      </c>
      <c r="AQ25" s="352">
        <f t="shared" si="40"/>
        <v>65</v>
      </c>
      <c r="AR25" s="282">
        <f t="shared" si="41"/>
        <v>210</v>
      </c>
      <c r="AS25" s="282">
        <f t="shared" si="42"/>
        <v>181</v>
      </c>
      <c r="AT25" s="282">
        <f t="shared" si="43"/>
        <v>191</v>
      </c>
      <c r="AU25" s="282">
        <f t="shared" si="44"/>
        <v>65</v>
      </c>
      <c r="AY25" t="s">
        <v>209</v>
      </c>
      <c r="AZ25">
        <v>42</v>
      </c>
      <c r="BA25" s="352">
        <v>65.239567258966829</v>
      </c>
      <c r="BB25" s="352">
        <v>108.01961136320739</v>
      </c>
      <c r="BC25" s="352">
        <v>121.92312569708555</v>
      </c>
      <c r="BD25" s="352">
        <v>142.24364664659981</v>
      </c>
      <c r="BE25" s="352">
        <v>156.10235974406439</v>
      </c>
      <c r="BF25" s="352">
        <v>165.7251079474656</v>
      </c>
      <c r="BG25" s="352">
        <v>173.20946766122213</v>
      </c>
      <c r="BH25" s="352">
        <v>180.65160350747817</v>
      </c>
      <c r="BI25" s="352">
        <v>191.29846847602334</v>
      </c>
      <c r="BJ25" s="352">
        <v>245.75118349611131</v>
      </c>
    </row>
    <row r="26" spans="1:62">
      <c r="A26" s="62" t="s">
        <v>52</v>
      </c>
      <c r="B26" s="333">
        <v>49</v>
      </c>
      <c r="C26" s="45">
        <f t="shared" si="27"/>
        <v>126</v>
      </c>
      <c r="D26" s="45">
        <f t="shared" si="28"/>
        <v>143</v>
      </c>
      <c r="E26" s="45">
        <f t="shared" si="29"/>
        <v>169</v>
      </c>
      <c r="F26" s="45">
        <f t="shared" si="30"/>
        <v>186</v>
      </c>
      <c r="G26" s="45">
        <f t="shared" si="31"/>
        <v>197</v>
      </c>
      <c r="H26" s="45">
        <f t="shared" si="32"/>
        <v>205</v>
      </c>
      <c r="I26" s="45">
        <f t="shared" si="33"/>
        <v>277</v>
      </c>
      <c r="J26" s="113">
        <f t="shared" si="11"/>
        <v>126</v>
      </c>
      <c r="K26" s="113">
        <f t="shared" si="12"/>
        <v>143</v>
      </c>
      <c r="L26" s="113">
        <f t="shared" si="13"/>
        <v>169</v>
      </c>
      <c r="M26" s="234">
        <f t="shared" si="14"/>
        <v>186</v>
      </c>
      <c r="N26" s="113">
        <f t="shared" si="15"/>
        <v>197</v>
      </c>
      <c r="O26" s="113">
        <f t="shared" si="16"/>
        <v>205</v>
      </c>
      <c r="P26" s="237">
        <f t="shared" si="17"/>
        <v>277</v>
      </c>
      <c r="Q26" s="281">
        <f t="shared" si="34"/>
        <v>60.48</v>
      </c>
      <c r="R26" s="282">
        <f t="shared" si="35"/>
        <v>60.48</v>
      </c>
      <c r="S26" s="236"/>
      <c r="T26" s="236">
        <v>56.75</v>
      </c>
      <c r="U26" s="236">
        <v>118.23</v>
      </c>
      <c r="V26" s="236">
        <v>133.69999999999999</v>
      </c>
      <c r="W26" s="236">
        <v>158</v>
      </c>
      <c r="X26" s="236">
        <v>174.23</v>
      </c>
      <c r="Y26" s="236">
        <v>183.58</v>
      </c>
      <c r="Z26" s="236">
        <v>191.77</v>
      </c>
      <c r="AA26" s="236">
        <v>258.72000000000003</v>
      </c>
      <c r="AC26">
        <f t="shared" si="36"/>
        <v>6.3</v>
      </c>
      <c r="AD26">
        <f t="shared" si="18"/>
        <v>7.15</v>
      </c>
      <c r="AE26">
        <f t="shared" si="19"/>
        <v>8.4499999999999993</v>
      </c>
      <c r="AF26">
        <f t="shared" si="20"/>
        <v>9.3000000000000007</v>
      </c>
      <c r="AG26">
        <f t="shared" si="21"/>
        <v>9.85</v>
      </c>
      <c r="AH26">
        <f t="shared" si="22"/>
        <v>10.25</v>
      </c>
      <c r="AI26">
        <f t="shared" si="23"/>
        <v>13.85</v>
      </c>
      <c r="AJ26">
        <f t="shared" si="24"/>
        <v>82</v>
      </c>
      <c r="AL26" s="294">
        <v>56.64</v>
      </c>
      <c r="AM26" t="str">
        <f t="shared" si="25"/>
        <v>VALENCIA</v>
      </c>
      <c r="AN26">
        <f t="shared" si="37"/>
        <v>241</v>
      </c>
      <c r="AO26" s="352">
        <f t="shared" si="38"/>
        <v>213</v>
      </c>
      <c r="AP26" s="352">
        <f t="shared" si="39"/>
        <v>223</v>
      </c>
      <c r="AQ26" s="352">
        <f t="shared" si="40"/>
        <v>76</v>
      </c>
      <c r="AR26" s="282">
        <f t="shared" si="41"/>
        <v>241</v>
      </c>
      <c r="AS26" s="282">
        <f t="shared" si="42"/>
        <v>213</v>
      </c>
      <c r="AT26" s="282">
        <f t="shared" si="43"/>
        <v>223</v>
      </c>
      <c r="AU26" s="282">
        <f t="shared" si="44"/>
        <v>76</v>
      </c>
      <c r="AY26" t="s">
        <v>52</v>
      </c>
      <c r="AZ26">
        <v>49</v>
      </c>
      <c r="BA26" s="352">
        <v>75.912259856256682</v>
      </c>
      <c r="BB26" s="352">
        <v>126.16403750758155</v>
      </c>
      <c r="BC26" s="352">
        <v>143.27102564420278</v>
      </c>
      <c r="BD26" s="352">
        <v>168.93150784913462</v>
      </c>
      <c r="BE26" s="352">
        <v>185.98629677370448</v>
      </c>
      <c r="BF26" s="352">
        <v>196.67516440437714</v>
      </c>
      <c r="BG26" s="352">
        <v>205.22625850891527</v>
      </c>
      <c r="BH26" s="352">
        <v>212.65973713329171</v>
      </c>
      <c r="BI26" s="352">
        <v>223.2971088037423</v>
      </c>
      <c r="BJ26" s="352">
        <v>276.65997010115558</v>
      </c>
    </row>
    <row r="27" spans="1:62">
      <c r="A27" s="62" t="s">
        <v>59</v>
      </c>
      <c r="B27" s="333">
        <v>55</v>
      </c>
      <c r="C27" s="45">
        <f t="shared" si="27"/>
        <v>129</v>
      </c>
      <c r="D27" s="45">
        <f t="shared" si="28"/>
        <v>147</v>
      </c>
      <c r="E27" s="45">
        <f t="shared" si="29"/>
        <v>172</v>
      </c>
      <c r="F27" s="45">
        <f t="shared" si="30"/>
        <v>189</v>
      </c>
      <c r="G27" s="45">
        <f t="shared" si="31"/>
        <v>200</v>
      </c>
      <c r="H27" s="45">
        <f t="shared" si="32"/>
        <v>209</v>
      </c>
      <c r="I27" s="45">
        <f t="shared" si="33"/>
        <v>286</v>
      </c>
      <c r="J27" s="113">
        <f t="shared" si="11"/>
        <v>129</v>
      </c>
      <c r="K27" s="113">
        <f t="shared" si="12"/>
        <v>147</v>
      </c>
      <c r="L27" s="113">
        <f t="shared" si="13"/>
        <v>172</v>
      </c>
      <c r="M27" s="234">
        <f t="shared" si="14"/>
        <v>189</v>
      </c>
      <c r="N27" s="113">
        <f t="shared" si="15"/>
        <v>200</v>
      </c>
      <c r="O27" s="113">
        <f t="shared" si="16"/>
        <v>209</v>
      </c>
      <c r="P27" s="237">
        <f t="shared" si="17"/>
        <v>286</v>
      </c>
      <c r="Q27" s="281">
        <f t="shared" si="34"/>
        <v>61.919999999999995</v>
      </c>
      <c r="R27" s="282">
        <f t="shared" si="35"/>
        <v>61.919999999999995</v>
      </c>
      <c r="S27" s="236"/>
      <c r="T27" s="236">
        <v>57.82</v>
      </c>
      <c r="U27" s="236">
        <v>120.46</v>
      </c>
      <c r="V27" s="236">
        <v>137.03</v>
      </c>
      <c r="W27" s="236">
        <v>160.24</v>
      </c>
      <c r="X27" s="236">
        <v>175.77</v>
      </c>
      <c r="Y27" s="236">
        <v>186.25</v>
      </c>
      <c r="Z27" s="236">
        <v>194.4</v>
      </c>
      <c r="AA27" s="236">
        <v>265.89999999999998</v>
      </c>
      <c r="AC27">
        <f t="shared" si="36"/>
        <v>6.45</v>
      </c>
      <c r="AD27">
        <f t="shared" si="18"/>
        <v>7.35</v>
      </c>
      <c r="AE27">
        <f t="shared" si="19"/>
        <v>8.6</v>
      </c>
      <c r="AF27">
        <f t="shared" si="20"/>
        <v>9.4499999999999993</v>
      </c>
      <c r="AG27">
        <f t="shared" si="21"/>
        <v>10</v>
      </c>
      <c r="AH27">
        <f t="shared" si="22"/>
        <v>10.45</v>
      </c>
      <c r="AI27">
        <f t="shared" si="23"/>
        <v>14.3</v>
      </c>
      <c r="AJ27">
        <f t="shared" si="24"/>
        <v>84</v>
      </c>
      <c r="AL27" s="294">
        <v>57.6</v>
      </c>
      <c r="AM27" t="str">
        <f t="shared" si="25"/>
        <v>TEJERIAS</v>
      </c>
      <c r="AN27">
        <f t="shared" si="37"/>
        <v>248</v>
      </c>
      <c r="AO27" s="352">
        <f t="shared" si="38"/>
        <v>216</v>
      </c>
      <c r="AP27" s="352">
        <f t="shared" si="39"/>
        <v>228</v>
      </c>
      <c r="AQ27" s="352">
        <f t="shared" si="40"/>
        <v>78</v>
      </c>
      <c r="AR27" s="282">
        <f t="shared" si="41"/>
        <v>248</v>
      </c>
      <c r="AS27" s="282">
        <f t="shared" si="42"/>
        <v>216</v>
      </c>
      <c r="AT27" s="282">
        <f t="shared" si="43"/>
        <v>228</v>
      </c>
      <c r="AU27" s="282">
        <f t="shared" si="44"/>
        <v>78</v>
      </c>
      <c r="AY27" t="s">
        <v>59</v>
      </c>
      <c r="AZ27">
        <v>55</v>
      </c>
      <c r="BA27" s="352">
        <v>77.513577837331553</v>
      </c>
      <c r="BB27" s="352">
        <v>129.18929639555259</v>
      </c>
      <c r="BC27" s="352">
        <v>147.49111338492256</v>
      </c>
      <c r="BD27" s="352">
        <v>172.25239519407015</v>
      </c>
      <c r="BE27" s="352">
        <v>189.41287790049876</v>
      </c>
      <c r="BF27" s="352">
        <v>200.17497323575438</v>
      </c>
      <c r="BG27" s="352">
        <v>208.78464950395886</v>
      </c>
      <c r="BH27" s="352">
        <v>216.25766700379805</v>
      </c>
      <c r="BI27" s="352">
        <v>228.0315802822256</v>
      </c>
      <c r="BJ27" s="352">
        <v>286.04294756310503</v>
      </c>
    </row>
    <row r="28" spans="1:62">
      <c r="A28" s="62" t="s">
        <v>60</v>
      </c>
      <c r="B28" s="333">
        <v>33</v>
      </c>
      <c r="C28" s="45">
        <f t="shared" si="27"/>
        <v>107</v>
      </c>
      <c r="D28" s="45">
        <f t="shared" si="28"/>
        <v>120</v>
      </c>
      <c r="E28" s="45">
        <f t="shared" si="29"/>
        <v>143</v>
      </c>
      <c r="F28" s="45">
        <f t="shared" si="30"/>
        <v>152</v>
      </c>
      <c r="G28" s="45">
        <f t="shared" si="31"/>
        <v>158</v>
      </c>
      <c r="H28" s="45">
        <f t="shared" si="32"/>
        <v>168</v>
      </c>
      <c r="I28" s="45">
        <f t="shared" si="33"/>
        <v>225</v>
      </c>
      <c r="J28" s="113">
        <f t="shared" si="11"/>
        <v>107</v>
      </c>
      <c r="K28" s="113">
        <f t="shared" si="12"/>
        <v>120</v>
      </c>
      <c r="L28" s="113">
        <f t="shared" si="13"/>
        <v>143</v>
      </c>
      <c r="M28" s="234">
        <f t="shared" si="14"/>
        <v>152</v>
      </c>
      <c r="N28" s="113">
        <f t="shared" si="15"/>
        <v>158</v>
      </c>
      <c r="O28" s="113">
        <f t="shared" si="16"/>
        <v>168</v>
      </c>
      <c r="P28" s="237">
        <f t="shared" si="17"/>
        <v>225</v>
      </c>
      <c r="Q28" s="281">
        <f t="shared" si="34"/>
        <v>51.36</v>
      </c>
      <c r="R28" s="282">
        <f t="shared" si="35"/>
        <v>51.36</v>
      </c>
      <c r="S28" s="236"/>
      <c r="T28" s="236">
        <v>48.26</v>
      </c>
      <c r="U28" s="236">
        <v>100.54</v>
      </c>
      <c r="V28" s="236">
        <v>114.01</v>
      </c>
      <c r="W28" s="236">
        <v>134.74</v>
      </c>
      <c r="X28" s="236">
        <v>143.52000000000001</v>
      </c>
      <c r="Y28" s="236">
        <v>149.94999999999999</v>
      </c>
      <c r="Z28" s="236">
        <v>158.52000000000001</v>
      </c>
      <c r="AA28" s="236">
        <v>213.39</v>
      </c>
      <c r="AC28">
        <f t="shared" si="36"/>
        <v>5.35</v>
      </c>
      <c r="AD28">
        <f t="shared" si="18"/>
        <v>6</v>
      </c>
      <c r="AE28">
        <f t="shared" si="19"/>
        <v>7.15</v>
      </c>
      <c r="AF28">
        <f t="shared" si="20"/>
        <v>7.6</v>
      </c>
      <c r="AG28">
        <f t="shared" si="21"/>
        <v>7.9</v>
      </c>
      <c r="AH28">
        <f t="shared" si="22"/>
        <v>8.4</v>
      </c>
      <c r="AI28">
        <f t="shared" si="23"/>
        <v>11.25</v>
      </c>
      <c r="AJ28">
        <f t="shared" si="24"/>
        <v>70</v>
      </c>
      <c r="AL28" s="294">
        <v>48.48</v>
      </c>
      <c r="AM28" t="str">
        <f t="shared" si="25"/>
        <v>LA VICTORIA</v>
      </c>
      <c r="AN28">
        <f t="shared" si="37"/>
        <v>197</v>
      </c>
      <c r="AO28" s="352">
        <f t="shared" si="38"/>
        <v>173</v>
      </c>
      <c r="AP28" s="352">
        <f t="shared" si="39"/>
        <v>183</v>
      </c>
      <c r="AQ28" s="352">
        <f t="shared" si="40"/>
        <v>64</v>
      </c>
      <c r="AR28" s="282">
        <f t="shared" si="41"/>
        <v>197</v>
      </c>
      <c r="AS28" s="282">
        <f t="shared" si="42"/>
        <v>173</v>
      </c>
      <c r="AT28" s="282">
        <f t="shared" si="43"/>
        <v>183</v>
      </c>
      <c r="AU28" s="282">
        <f t="shared" si="44"/>
        <v>64</v>
      </c>
      <c r="AY28" t="s">
        <v>60</v>
      </c>
      <c r="AZ28">
        <v>33</v>
      </c>
      <c r="BA28" s="352">
        <v>64.412715750824944</v>
      </c>
      <c r="BB28" s="352">
        <v>106.65056214480852</v>
      </c>
      <c r="BC28" s="352">
        <v>120.37786222285317</v>
      </c>
      <c r="BD28" s="352">
        <v>142.55273157969452</v>
      </c>
      <c r="BE28" s="352">
        <v>152.02870098418222</v>
      </c>
      <c r="BF28" s="352">
        <v>158.3632301918565</v>
      </c>
      <c r="BG28" s="352">
        <v>167.86502400336786</v>
      </c>
      <c r="BH28" s="352">
        <v>173.11733440534431</v>
      </c>
      <c r="BI28" s="352">
        <v>182.5907597235252</v>
      </c>
      <c r="BJ28" s="352">
        <v>224.77702848040093</v>
      </c>
    </row>
    <row r="29" spans="1:62" ht="16.5" customHeight="1">
      <c r="A29" s="62" t="s">
        <v>61</v>
      </c>
      <c r="B29" s="333">
        <v>62</v>
      </c>
      <c r="C29" s="45">
        <f t="shared" si="27"/>
        <v>131</v>
      </c>
      <c r="D29" s="45">
        <f t="shared" si="28"/>
        <v>148</v>
      </c>
      <c r="E29" s="45">
        <f t="shared" si="29"/>
        <v>175</v>
      </c>
      <c r="F29" s="45">
        <f t="shared" si="30"/>
        <v>190</v>
      </c>
      <c r="G29" s="45">
        <f t="shared" si="31"/>
        <v>203</v>
      </c>
      <c r="H29" s="45">
        <f t="shared" si="32"/>
        <v>212</v>
      </c>
      <c r="I29" s="45">
        <f t="shared" si="33"/>
        <v>286</v>
      </c>
      <c r="J29" s="113">
        <f t="shared" si="11"/>
        <v>131</v>
      </c>
      <c r="K29" s="113">
        <f t="shared" si="12"/>
        <v>148</v>
      </c>
      <c r="L29" s="113">
        <f t="shared" si="13"/>
        <v>175</v>
      </c>
      <c r="M29" s="234">
        <f t="shared" si="14"/>
        <v>190</v>
      </c>
      <c r="N29" s="113">
        <f t="shared" si="15"/>
        <v>203</v>
      </c>
      <c r="O29" s="113">
        <f t="shared" si="16"/>
        <v>212</v>
      </c>
      <c r="P29" s="237">
        <f t="shared" si="17"/>
        <v>286</v>
      </c>
      <c r="Q29" s="281">
        <f t="shared" si="34"/>
        <v>62.879999999999995</v>
      </c>
      <c r="R29" s="282">
        <f t="shared" si="35"/>
        <v>62.879999999999995</v>
      </c>
      <c r="S29" s="236"/>
      <c r="T29" s="236">
        <v>58</v>
      </c>
      <c r="U29" s="236">
        <v>120.83</v>
      </c>
      <c r="V29" s="236">
        <v>135.94</v>
      </c>
      <c r="W29" s="236">
        <v>160.75</v>
      </c>
      <c r="X29" s="236">
        <v>174.83</v>
      </c>
      <c r="Y29" s="236">
        <v>187.16</v>
      </c>
      <c r="Z29" s="236">
        <v>195</v>
      </c>
      <c r="AA29" s="236">
        <v>264.10000000000002</v>
      </c>
      <c r="AC29">
        <f t="shared" si="36"/>
        <v>6.55</v>
      </c>
      <c r="AD29">
        <f t="shared" si="18"/>
        <v>7.4</v>
      </c>
      <c r="AE29">
        <f t="shared" si="19"/>
        <v>8.75</v>
      </c>
      <c r="AF29">
        <f t="shared" si="20"/>
        <v>9.5</v>
      </c>
      <c r="AG29">
        <f t="shared" si="21"/>
        <v>10.15</v>
      </c>
      <c r="AH29">
        <f t="shared" si="22"/>
        <v>10.6</v>
      </c>
      <c r="AI29">
        <f t="shared" si="23"/>
        <v>14.3</v>
      </c>
      <c r="AJ29">
        <f t="shared" si="24"/>
        <v>86</v>
      </c>
      <c r="AL29" s="294">
        <v>58.08</v>
      </c>
      <c r="AM29" t="str">
        <f t="shared" si="25"/>
        <v>TOCUYITO</v>
      </c>
      <c r="AN29">
        <f t="shared" si="37"/>
        <v>249</v>
      </c>
      <c r="AO29" s="352">
        <f t="shared" si="38"/>
        <v>219</v>
      </c>
      <c r="AP29" s="352">
        <f t="shared" si="39"/>
        <v>230</v>
      </c>
      <c r="AQ29" s="352">
        <f t="shared" si="40"/>
        <v>79</v>
      </c>
      <c r="AR29" s="282">
        <f t="shared" si="41"/>
        <v>249</v>
      </c>
      <c r="AS29" s="282">
        <f t="shared" si="42"/>
        <v>219</v>
      </c>
      <c r="AT29" s="282">
        <f t="shared" si="43"/>
        <v>230</v>
      </c>
      <c r="AU29" s="282">
        <f t="shared" si="44"/>
        <v>79</v>
      </c>
      <c r="AY29" t="s">
        <v>61</v>
      </c>
      <c r="AZ29">
        <v>62</v>
      </c>
      <c r="BA29" s="352">
        <v>79.286488592468856</v>
      </c>
      <c r="BB29" s="352">
        <v>131.42007013272234</v>
      </c>
      <c r="BC29" s="352">
        <v>147.71181436405158</v>
      </c>
      <c r="BD29" s="352">
        <v>174.86472141626692</v>
      </c>
      <c r="BE29" s="352">
        <v>189.98926399259744</v>
      </c>
      <c r="BF29" s="352">
        <v>203.01709923780413</v>
      </c>
      <c r="BG29" s="352">
        <v>211.7023227346086</v>
      </c>
      <c r="BH29" s="352">
        <v>219.22538307092628</v>
      </c>
      <c r="BI29" s="352">
        <v>230.00124461488119</v>
      </c>
      <c r="BJ29" s="352">
        <v>286.32614451917306</v>
      </c>
    </row>
    <row r="30" spans="1:62" s="31" customFormat="1" ht="18" customHeight="1">
      <c r="A30" s="62" t="s">
        <v>363</v>
      </c>
      <c r="B30" s="333">
        <v>43</v>
      </c>
      <c r="C30" s="45">
        <f t="shared" si="27"/>
        <v>123</v>
      </c>
      <c r="D30" s="45">
        <f t="shared" si="28"/>
        <v>140</v>
      </c>
      <c r="E30" s="45">
        <f t="shared" si="29"/>
        <v>165</v>
      </c>
      <c r="F30" s="45">
        <f t="shared" si="30"/>
        <v>181</v>
      </c>
      <c r="G30" s="45">
        <f t="shared" si="31"/>
        <v>191</v>
      </c>
      <c r="H30" s="45">
        <f t="shared" si="32"/>
        <v>200</v>
      </c>
      <c r="I30" s="45">
        <f t="shared" si="33"/>
        <v>267</v>
      </c>
      <c r="J30" s="113">
        <f t="shared" si="11"/>
        <v>123</v>
      </c>
      <c r="K30" s="113">
        <f t="shared" si="12"/>
        <v>140</v>
      </c>
      <c r="L30" s="113">
        <f t="shared" si="13"/>
        <v>165</v>
      </c>
      <c r="M30" s="234">
        <f t="shared" si="14"/>
        <v>181</v>
      </c>
      <c r="N30" s="113">
        <f t="shared" si="15"/>
        <v>191</v>
      </c>
      <c r="O30" s="113">
        <f t="shared" si="16"/>
        <v>200</v>
      </c>
      <c r="P30" s="237">
        <f t="shared" si="17"/>
        <v>267</v>
      </c>
      <c r="Q30" s="281">
        <f t="shared" si="34"/>
        <v>59.04</v>
      </c>
      <c r="R30" s="282">
        <f t="shared" si="35"/>
        <v>59.04</v>
      </c>
      <c r="S30" s="236"/>
      <c r="T30" s="236">
        <v>55.9</v>
      </c>
      <c r="U30" s="236">
        <v>116.47</v>
      </c>
      <c r="V30" s="236">
        <v>132.35</v>
      </c>
      <c r="W30" s="236">
        <v>154.58000000000001</v>
      </c>
      <c r="X30" s="236">
        <v>169.86</v>
      </c>
      <c r="Y30" s="236">
        <v>179.92</v>
      </c>
      <c r="Z30" s="236">
        <v>187.74</v>
      </c>
      <c r="AA30" s="236">
        <v>252.04</v>
      </c>
      <c r="AC30">
        <f t="shared" si="36"/>
        <v>6.15</v>
      </c>
      <c r="AD30">
        <f t="shared" si="18"/>
        <v>7</v>
      </c>
      <c r="AE30">
        <f t="shared" si="19"/>
        <v>8.25</v>
      </c>
      <c r="AF30">
        <f t="shared" si="20"/>
        <v>9.0500000000000007</v>
      </c>
      <c r="AG30">
        <f t="shared" si="21"/>
        <v>9.5500000000000007</v>
      </c>
      <c r="AH30">
        <f t="shared" si="22"/>
        <v>10</v>
      </c>
      <c r="AI30">
        <f t="shared" si="23"/>
        <v>13.35</v>
      </c>
      <c r="AJ30">
        <f t="shared" si="24"/>
        <v>80</v>
      </c>
      <c r="AL30" s="295">
        <v>55.679999999999993</v>
      </c>
      <c r="AM30" t="str">
        <f t="shared" si="25"/>
        <v>FLOR AMARILLO</v>
      </c>
      <c r="AN30">
        <f t="shared" si="37"/>
        <v>234</v>
      </c>
      <c r="AO30" s="352">
        <f t="shared" si="38"/>
        <v>206</v>
      </c>
      <c r="AP30" s="352">
        <f t="shared" si="39"/>
        <v>217</v>
      </c>
      <c r="AQ30" s="352">
        <f t="shared" si="40"/>
        <v>74</v>
      </c>
      <c r="AR30" s="282">
        <f t="shared" si="41"/>
        <v>234</v>
      </c>
      <c r="AS30" s="282">
        <f t="shared" si="42"/>
        <v>206</v>
      </c>
      <c r="AT30" s="282">
        <f t="shared" si="43"/>
        <v>217</v>
      </c>
      <c r="AU30" s="282">
        <f t="shared" si="44"/>
        <v>74</v>
      </c>
      <c r="AY30" t="s">
        <v>62</v>
      </c>
      <c r="AZ30">
        <v>43</v>
      </c>
      <c r="BA30" s="352">
        <v>74.348889256000646</v>
      </c>
      <c r="BB30" s="352">
        <v>123.20673076708677</v>
      </c>
      <c r="BC30" s="352">
        <v>140.20076259702975</v>
      </c>
      <c r="BD30" s="352">
        <v>164.62968335257284</v>
      </c>
      <c r="BE30" s="352">
        <v>180.52061249000425</v>
      </c>
      <c r="BF30" s="352">
        <v>191.13947204823981</v>
      </c>
      <c r="BG30" s="352">
        <v>199.63455969482823</v>
      </c>
      <c r="BH30" s="352">
        <v>205.96760464366682</v>
      </c>
      <c r="BI30" s="352">
        <v>216.54572770746279</v>
      </c>
      <c r="BJ30" s="352">
        <v>267.45239237558496</v>
      </c>
    </row>
    <row r="31" spans="1:62" s="31" customFormat="1" ht="18" customHeight="1">
      <c r="A31" s="62" t="s">
        <v>364</v>
      </c>
      <c r="B31" s="333">
        <v>43</v>
      </c>
      <c r="C31" s="45">
        <f t="shared" ref="C31:C32" si="144">ROUND(BB31,0)</f>
        <v>123</v>
      </c>
      <c r="D31" s="45">
        <f t="shared" ref="D31:D32" si="145">ROUND(BC31,0)</f>
        <v>140</v>
      </c>
      <c r="E31" s="45">
        <f t="shared" ref="E31:E32" si="146">ROUND(BD31,0)</f>
        <v>165</v>
      </c>
      <c r="F31" s="45">
        <f t="shared" ref="F31:F32" si="147">ROUND(BE31,0)</f>
        <v>181</v>
      </c>
      <c r="G31" s="45">
        <f t="shared" ref="G31:G32" si="148">ROUND(BF31,0)</f>
        <v>191</v>
      </c>
      <c r="H31" s="45">
        <f t="shared" ref="H31:H32" si="149">ROUND(BG31,0)</f>
        <v>200</v>
      </c>
      <c r="I31" s="45">
        <f t="shared" ref="I31:I32" si="150">ROUND(BJ31,0)</f>
        <v>267</v>
      </c>
      <c r="J31" s="113">
        <f t="shared" ref="J31:J32" si="151">C31*$M$1</f>
        <v>123</v>
      </c>
      <c r="K31" s="113">
        <f t="shared" ref="K31:K32" si="152">D31*$M$1</f>
        <v>140</v>
      </c>
      <c r="L31" s="113">
        <f t="shared" ref="L31:L32" si="153">E31*$M$1</f>
        <v>165</v>
      </c>
      <c r="M31" s="234">
        <f t="shared" ref="M31:M32" si="154">F31*$M$1</f>
        <v>181</v>
      </c>
      <c r="N31" s="113">
        <f t="shared" ref="N31:N32" si="155">G31*$M$1</f>
        <v>191</v>
      </c>
      <c r="O31" s="113">
        <f t="shared" ref="O31:O32" si="156">H31*$M$1</f>
        <v>200</v>
      </c>
      <c r="P31" s="237">
        <f t="shared" ref="P31:P32" si="157">I31*$M$1</f>
        <v>267</v>
      </c>
      <c r="Q31" s="281">
        <f t="shared" ref="Q31:Q32" si="158">1.2*C31/2.5</f>
        <v>59.04</v>
      </c>
      <c r="R31" s="282">
        <f t="shared" ref="R31:R32" si="159">Q31*$M$1</f>
        <v>59.04</v>
      </c>
      <c r="S31" s="236"/>
      <c r="T31" s="236">
        <v>55.9</v>
      </c>
      <c r="U31" s="236">
        <v>116.47</v>
      </c>
      <c r="V31" s="236">
        <v>132.35</v>
      </c>
      <c r="W31" s="236">
        <v>154.58000000000001</v>
      </c>
      <c r="X31" s="236">
        <v>169.86</v>
      </c>
      <c r="Y31" s="236">
        <v>179.92</v>
      </c>
      <c r="Z31" s="236">
        <v>187.74</v>
      </c>
      <c r="AA31" s="236">
        <v>252.04</v>
      </c>
      <c r="AC31">
        <f t="shared" ref="AC31:AC32" si="160">C31/($B$16*2)</f>
        <v>6.15</v>
      </c>
      <c r="AD31">
        <f t="shared" ref="AD31:AD32" si="161">D31/($B$16*2)</f>
        <v>7</v>
      </c>
      <c r="AE31">
        <f t="shared" ref="AE31:AE32" si="162">E31/($B$16*2)</f>
        <v>8.25</v>
      </c>
      <c r="AF31">
        <f t="shared" ref="AF31:AF32" si="163">F31/($B$16*2)</f>
        <v>9.0500000000000007</v>
      </c>
      <c r="AG31">
        <f t="shared" ref="AG31:AG32" si="164">G31/($B$16*2)</f>
        <v>9.5500000000000007</v>
      </c>
      <c r="AH31">
        <f t="shared" ref="AH31:AH32" si="165">H31/($B$16*2)</f>
        <v>10</v>
      </c>
      <c r="AI31">
        <f t="shared" ref="AI31:AI32" si="166">I31/($B$16*2)</f>
        <v>13.35</v>
      </c>
      <c r="AJ31">
        <f t="shared" ref="AJ31:AJ32" si="167">ROUND(((Q31-C31)/(2.5-1))+C31,0)</f>
        <v>80</v>
      </c>
      <c r="AL31" s="295">
        <v>55.679999999999993</v>
      </c>
      <c r="AM31" t="str">
        <f t="shared" ref="AM31:AM32" si="168">A31</f>
        <v>GUIGUE</v>
      </c>
      <c r="AN31">
        <f t="shared" ref="AN31:AN32" si="169">ROUND(H31+((20-10)/(30-10)*(I31-H31)),0)</f>
        <v>234</v>
      </c>
      <c r="AO31" s="352">
        <f t="shared" ref="AO31:AO32" si="170">ROUND(BH31,0)</f>
        <v>206</v>
      </c>
      <c r="AP31" s="352">
        <f t="shared" ref="AP31:AP32" si="171">ROUND(BI31,0)</f>
        <v>217</v>
      </c>
      <c r="AQ31" s="352">
        <f t="shared" ref="AQ31:AQ32" si="172">ROUND(BA31,0)</f>
        <v>74</v>
      </c>
      <c r="AR31" s="282">
        <f t="shared" ref="AR31:AR32" si="173">AN31*$M$1</f>
        <v>234</v>
      </c>
      <c r="AS31" s="282">
        <f t="shared" ref="AS31:AS32" si="174">AO31*$M$1</f>
        <v>206</v>
      </c>
      <c r="AT31" s="282">
        <f t="shared" ref="AT31:AT32" si="175">AP31*$M$1</f>
        <v>217</v>
      </c>
      <c r="AU31" s="282">
        <f t="shared" ref="AU31:AU32" si="176">AQ31*$M$1</f>
        <v>74</v>
      </c>
      <c r="AY31" t="s">
        <v>62</v>
      </c>
      <c r="AZ31">
        <v>43</v>
      </c>
      <c r="BA31" s="352">
        <v>74.348889256000646</v>
      </c>
      <c r="BB31" s="352">
        <v>123.20673076708677</v>
      </c>
      <c r="BC31" s="352">
        <v>140.20076259702975</v>
      </c>
      <c r="BD31" s="352">
        <v>164.62968335257284</v>
      </c>
      <c r="BE31" s="352">
        <v>180.52061249000425</v>
      </c>
      <c r="BF31" s="352">
        <v>191.13947204823981</v>
      </c>
      <c r="BG31" s="352">
        <v>199.63455969482823</v>
      </c>
      <c r="BH31" s="352">
        <v>205.96760464366682</v>
      </c>
      <c r="BI31" s="352">
        <v>216.54572770746279</v>
      </c>
      <c r="BJ31" s="352">
        <v>267.45239237558496</v>
      </c>
    </row>
    <row r="32" spans="1:62" s="31" customFormat="1" ht="18" customHeight="1">
      <c r="A32" s="62" t="s">
        <v>365</v>
      </c>
      <c r="B32" s="333">
        <v>43</v>
      </c>
      <c r="C32" s="45">
        <f t="shared" si="144"/>
        <v>123</v>
      </c>
      <c r="D32" s="45">
        <f t="shared" si="145"/>
        <v>140</v>
      </c>
      <c r="E32" s="45">
        <f t="shared" si="146"/>
        <v>165</v>
      </c>
      <c r="F32" s="45">
        <f t="shared" si="147"/>
        <v>181</v>
      </c>
      <c r="G32" s="45">
        <f t="shared" si="148"/>
        <v>191</v>
      </c>
      <c r="H32" s="45">
        <f t="shared" si="149"/>
        <v>200</v>
      </c>
      <c r="I32" s="45">
        <f t="shared" si="150"/>
        <v>267</v>
      </c>
      <c r="J32" s="113">
        <f t="shared" si="151"/>
        <v>123</v>
      </c>
      <c r="K32" s="113">
        <f t="shared" si="152"/>
        <v>140</v>
      </c>
      <c r="L32" s="113">
        <f t="shared" si="153"/>
        <v>165</v>
      </c>
      <c r="M32" s="234">
        <f t="shared" si="154"/>
        <v>181</v>
      </c>
      <c r="N32" s="113">
        <f t="shared" si="155"/>
        <v>191</v>
      </c>
      <c r="O32" s="113">
        <f t="shared" si="156"/>
        <v>200</v>
      </c>
      <c r="P32" s="237">
        <f t="shared" si="157"/>
        <v>267</v>
      </c>
      <c r="Q32" s="281">
        <f t="shared" si="158"/>
        <v>59.04</v>
      </c>
      <c r="R32" s="282">
        <f t="shared" si="159"/>
        <v>59.04</v>
      </c>
      <c r="S32" s="236"/>
      <c r="T32" s="236">
        <v>55.9</v>
      </c>
      <c r="U32" s="236">
        <v>116.47</v>
      </c>
      <c r="V32" s="236">
        <v>132.35</v>
      </c>
      <c r="W32" s="236">
        <v>154.58000000000001</v>
      </c>
      <c r="X32" s="236">
        <v>169.86</v>
      </c>
      <c r="Y32" s="236">
        <v>179.92</v>
      </c>
      <c r="Z32" s="236">
        <v>187.74</v>
      </c>
      <c r="AA32" s="236">
        <v>252.04</v>
      </c>
      <c r="AC32">
        <f t="shared" si="160"/>
        <v>6.15</v>
      </c>
      <c r="AD32">
        <f t="shared" si="161"/>
        <v>7</v>
      </c>
      <c r="AE32">
        <f t="shared" si="162"/>
        <v>8.25</v>
      </c>
      <c r="AF32">
        <f t="shared" si="163"/>
        <v>9.0500000000000007</v>
      </c>
      <c r="AG32">
        <f t="shared" si="164"/>
        <v>9.5500000000000007</v>
      </c>
      <c r="AH32">
        <f t="shared" si="165"/>
        <v>10</v>
      </c>
      <c r="AI32">
        <f t="shared" si="166"/>
        <v>13.35</v>
      </c>
      <c r="AJ32">
        <f t="shared" si="167"/>
        <v>80</v>
      </c>
      <c r="AL32" s="295">
        <v>55.679999999999993</v>
      </c>
      <c r="AM32" t="str">
        <f t="shared" si="168"/>
        <v>CENTRAL TACARIGUA</v>
      </c>
      <c r="AN32">
        <f t="shared" si="169"/>
        <v>234</v>
      </c>
      <c r="AO32" s="352">
        <f t="shared" si="170"/>
        <v>206</v>
      </c>
      <c r="AP32" s="352">
        <f t="shared" si="171"/>
        <v>217</v>
      </c>
      <c r="AQ32" s="352">
        <f t="shared" si="172"/>
        <v>74</v>
      </c>
      <c r="AR32" s="282">
        <f t="shared" si="173"/>
        <v>234</v>
      </c>
      <c r="AS32" s="282">
        <f t="shared" si="174"/>
        <v>206</v>
      </c>
      <c r="AT32" s="282">
        <f t="shared" si="175"/>
        <v>217</v>
      </c>
      <c r="AU32" s="282">
        <f t="shared" si="176"/>
        <v>74</v>
      </c>
      <c r="AY32" t="s">
        <v>62</v>
      </c>
      <c r="AZ32">
        <v>43</v>
      </c>
      <c r="BA32" s="352">
        <v>74.348889256000646</v>
      </c>
      <c r="BB32" s="352">
        <v>123.20673076708677</v>
      </c>
      <c r="BC32" s="352">
        <v>140.20076259702975</v>
      </c>
      <c r="BD32" s="352">
        <v>164.62968335257284</v>
      </c>
      <c r="BE32" s="352">
        <v>180.52061249000425</v>
      </c>
      <c r="BF32" s="352">
        <v>191.13947204823981</v>
      </c>
      <c r="BG32" s="352">
        <v>199.63455969482823</v>
      </c>
      <c r="BH32" s="352">
        <v>205.96760464366682</v>
      </c>
      <c r="BI32" s="352">
        <v>216.54572770746279</v>
      </c>
      <c r="BJ32" s="352">
        <v>267.45239237558496</v>
      </c>
    </row>
    <row r="33" spans="1:62">
      <c r="A33" s="62" t="s">
        <v>154</v>
      </c>
      <c r="B33" s="333">
        <v>64</v>
      </c>
      <c r="C33" s="45">
        <f t="shared" si="27"/>
        <v>150</v>
      </c>
      <c r="D33" s="45">
        <f t="shared" si="28"/>
        <v>168</v>
      </c>
      <c r="E33" s="45">
        <f t="shared" si="29"/>
        <v>198</v>
      </c>
      <c r="F33" s="45">
        <f t="shared" si="30"/>
        <v>216</v>
      </c>
      <c r="G33" s="45">
        <f t="shared" si="31"/>
        <v>232</v>
      </c>
      <c r="H33" s="45">
        <f t="shared" si="32"/>
        <v>239</v>
      </c>
      <c r="I33" s="45">
        <f t="shared" si="33"/>
        <v>323</v>
      </c>
      <c r="J33" s="113">
        <f t="shared" si="11"/>
        <v>150</v>
      </c>
      <c r="K33" s="113">
        <f t="shared" si="12"/>
        <v>168</v>
      </c>
      <c r="L33" s="113">
        <f t="shared" si="13"/>
        <v>198</v>
      </c>
      <c r="M33" s="234">
        <f t="shared" si="14"/>
        <v>216</v>
      </c>
      <c r="N33" s="113">
        <f t="shared" si="15"/>
        <v>232</v>
      </c>
      <c r="O33" s="113">
        <f t="shared" si="16"/>
        <v>239</v>
      </c>
      <c r="P33" s="237">
        <f t="shared" si="17"/>
        <v>323</v>
      </c>
      <c r="Q33" s="281">
        <f t="shared" si="34"/>
        <v>72</v>
      </c>
      <c r="R33" s="282">
        <f t="shared" si="35"/>
        <v>72</v>
      </c>
      <c r="S33" s="236"/>
      <c r="T33" s="236">
        <v>66.53</v>
      </c>
      <c r="U33" s="236">
        <v>138.61000000000001</v>
      </c>
      <c r="V33" s="236">
        <v>156.47</v>
      </c>
      <c r="W33" s="236">
        <v>183.77</v>
      </c>
      <c r="X33" s="236">
        <v>200.41</v>
      </c>
      <c r="Y33" s="236">
        <v>214.5</v>
      </c>
      <c r="Z33" s="236">
        <v>222.08</v>
      </c>
      <c r="AA33" s="236">
        <v>300.08</v>
      </c>
      <c r="AC33">
        <f t="shared" si="36"/>
        <v>7.5</v>
      </c>
      <c r="AD33">
        <f t="shared" si="18"/>
        <v>8.4</v>
      </c>
      <c r="AE33">
        <f t="shared" si="19"/>
        <v>9.9</v>
      </c>
      <c r="AF33">
        <f t="shared" si="20"/>
        <v>10.8</v>
      </c>
      <c r="AG33">
        <f t="shared" si="21"/>
        <v>11.6</v>
      </c>
      <c r="AH33">
        <f t="shared" si="22"/>
        <v>11.95</v>
      </c>
      <c r="AI33">
        <f t="shared" si="23"/>
        <v>16.149999999999999</v>
      </c>
      <c r="AJ33">
        <f t="shared" si="24"/>
        <v>98</v>
      </c>
      <c r="AL33" s="294">
        <v>66.72</v>
      </c>
      <c r="AM33" t="str">
        <f t="shared" si="25"/>
        <v>SAN JUAN</v>
      </c>
      <c r="AN33">
        <f t="shared" si="37"/>
        <v>281</v>
      </c>
      <c r="AO33" s="352">
        <f t="shared" si="38"/>
        <v>248</v>
      </c>
      <c r="AP33" s="352">
        <f t="shared" si="39"/>
        <v>261</v>
      </c>
      <c r="AQ33" s="352">
        <f t="shared" si="40"/>
        <v>89</v>
      </c>
      <c r="AR33" s="282">
        <f t="shared" si="41"/>
        <v>281</v>
      </c>
      <c r="AS33" s="282">
        <f t="shared" si="42"/>
        <v>248</v>
      </c>
      <c r="AT33" s="282">
        <f t="shared" si="43"/>
        <v>261</v>
      </c>
      <c r="AU33" s="282">
        <f t="shared" si="44"/>
        <v>89</v>
      </c>
      <c r="AY33" t="s">
        <v>154</v>
      </c>
      <c r="AZ33">
        <v>64</v>
      </c>
      <c r="BA33" s="352">
        <v>89.472611998169484</v>
      </c>
      <c r="BB33" s="352">
        <v>149.83967551500675</v>
      </c>
      <c r="BC33" s="352">
        <v>168.16539122547519</v>
      </c>
      <c r="BD33" s="352">
        <v>198.3489229838938</v>
      </c>
      <c r="BE33" s="352">
        <v>215.52083295324633</v>
      </c>
      <c r="BF33" s="352">
        <v>231.68489542473981</v>
      </c>
      <c r="BG33" s="352">
        <v>239.22812457810343</v>
      </c>
      <c r="BH33" s="352">
        <v>247.77733973216667</v>
      </c>
      <c r="BI33" s="352">
        <v>260.63266380434948</v>
      </c>
      <c r="BJ33" s="352">
        <v>323.01390509045967</v>
      </c>
    </row>
    <row r="34" spans="1:62">
      <c r="A34" s="62" t="s">
        <v>63</v>
      </c>
      <c r="B34" s="333">
        <v>94</v>
      </c>
      <c r="C34" s="45">
        <f t="shared" si="27"/>
        <v>184</v>
      </c>
      <c r="D34" s="45">
        <f t="shared" si="28"/>
        <v>210</v>
      </c>
      <c r="E34" s="45">
        <f t="shared" si="29"/>
        <v>246</v>
      </c>
      <c r="F34" s="45">
        <f t="shared" si="30"/>
        <v>270</v>
      </c>
      <c r="G34" s="45">
        <f t="shared" si="31"/>
        <v>286</v>
      </c>
      <c r="H34" s="45">
        <f t="shared" si="32"/>
        <v>295</v>
      </c>
      <c r="I34" s="45">
        <f t="shared" si="33"/>
        <v>404</v>
      </c>
      <c r="J34" s="113">
        <f t="shared" si="11"/>
        <v>184</v>
      </c>
      <c r="K34" s="113">
        <f t="shared" si="12"/>
        <v>210</v>
      </c>
      <c r="L34" s="113">
        <f t="shared" si="13"/>
        <v>246</v>
      </c>
      <c r="M34" s="234">
        <f t="shared" si="14"/>
        <v>270</v>
      </c>
      <c r="N34" s="113">
        <f t="shared" si="15"/>
        <v>286</v>
      </c>
      <c r="O34" s="113">
        <f t="shared" si="16"/>
        <v>295</v>
      </c>
      <c r="P34" s="237">
        <f t="shared" si="17"/>
        <v>404</v>
      </c>
      <c r="Q34" s="281">
        <f t="shared" si="34"/>
        <v>88.32</v>
      </c>
      <c r="R34" s="282">
        <f t="shared" si="35"/>
        <v>88.32</v>
      </c>
      <c r="S34" s="236"/>
      <c r="T34" s="236">
        <v>80.78</v>
      </c>
      <c r="U34" s="236">
        <v>168.29</v>
      </c>
      <c r="V34" s="236">
        <v>191.72</v>
      </c>
      <c r="W34" s="236">
        <v>224.74</v>
      </c>
      <c r="X34" s="236">
        <v>246.83</v>
      </c>
      <c r="Y34" s="236">
        <v>262.45999999999998</v>
      </c>
      <c r="Z34" s="236">
        <v>270.27999999999997</v>
      </c>
      <c r="AA34" s="236">
        <v>370.28</v>
      </c>
      <c r="AC34">
        <f t="shared" si="36"/>
        <v>9.1999999999999993</v>
      </c>
      <c r="AD34">
        <f t="shared" si="18"/>
        <v>10.5</v>
      </c>
      <c r="AE34">
        <f t="shared" si="19"/>
        <v>12.3</v>
      </c>
      <c r="AF34">
        <f t="shared" si="20"/>
        <v>13.5</v>
      </c>
      <c r="AG34">
        <f t="shared" si="21"/>
        <v>14.3</v>
      </c>
      <c r="AH34">
        <f t="shared" si="22"/>
        <v>14.75</v>
      </c>
      <c r="AI34">
        <f t="shared" si="23"/>
        <v>20.2</v>
      </c>
      <c r="AJ34">
        <f t="shared" si="24"/>
        <v>120</v>
      </c>
      <c r="AL34" s="294">
        <v>80.64</v>
      </c>
      <c r="AM34" t="str">
        <f t="shared" si="25"/>
        <v>PTO CABELLO</v>
      </c>
      <c r="AN34">
        <f t="shared" si="37"/>
        <v>350</v>
      </c>
      <c r="AO34" s="352">
        <f t="shared" si="38"/>
        <v>306</v>
      </c>
      <c r="AP34" s="352">
        <f t="shared" si="39"/>
        <v>322</v>
      </c>
      <c r="AQ34" s="352">
        <f t="shared" si="40"/>
        <v>110</v>
      </c>
      <c r="AR34" s="282">
        <f t="shared" si="41"/>
        <v>350</v>
      </c>
      <c r="AS34" s="282">
        <f t="shared" si="42"/>
        <v>306</v>
      </c>
      <c r="AT34" s="282">
        <f t="shared" si="43"/>
        <v>322</v>
      </c>
      <c r="AU34" s="282">
        <f t="shared" si="44"/>
        <v>110</v>
      </c>
      <c r="AY34" t="s">
        <v>63</v>
      </c>
      <c r="AZ34">
        <v>94</v>
      </c>
      <c r="BA34" s="352">
        <v>110.47380529170637</v>
      </c>
      <c r="BB34" s="352">
        <v>183.75840880204623</v>
      </c>
      <c r="BC34" s="352">
        <v>210.00961005948142</v>
      </c>
      <c r="BD34" s="352">
        <v>246.10501178845476</v>
      </c>
      <c r="BE34" s="352">
        <v>270.03342296746968</v>
      </c>
      <c r="BF34" s="352">
        <v>286.43221383593948</v>
      </c>
      <c r="BG34" s="352">
        <v>295.17823563245673</v>
      </c>
      <c r="BH34" s="352">
        <v>305.98441684938359</v>
      </c>
      <c r="BI34" s="352">
        <v>322.24922203848109</v>
      </c>
      <c r="BJ34" s="352">
        <v>404.02684495886268</v>
      </c>
    </row>
    <row r="35" spans="1:62">
      <c r="A35" s="62" t="s">
        <v>64</v>
      </c>
      <c r="B35" s="333">
        <v>99</v>
      </c>
      <c r="C35" s="45">
        <f t="shared" si="27"/>
        <v>189</v>
      </c>
      <c r="D35" s="45">
        <f t="shared" si="28"/>
        <v>213</v>
      </c>
      <c r="E35" s="45">
        <f t="shared" si="29"/>
        <v>249</v>
      </c>
      <c r="F35" s="45">
        <f t="shared" si="30"/>
        <v>272</v>
      </c>
      <c r="G35" s="45">
        <f t="shared" si="31"/>
        <v>292</v>
      </c>
      <c r="H35" s="45">
        <f t="shared" si="32"/>
        <v>300</v>
      </c>
      <c r="I35" s="45">
        <f t="shared" si="33"/>
        <v>411</v>
      </c>
      <c r="J35" s="113">
        <f t="shared" si="11"/>
        <v>189</v>
      </c>
      <c r="K35" s="113">
        <f t="shared" si="12"/>
        <v>213</v>
      </c>
      <c r="L35" s="113">
        <f t="shared" si="13"/>
        <v>249</v>
      </c>
      <c r="M35" s="234">
        <f t="shared" si="14"/>
        <v>272</v>
      </c>
      <c r="N35" s="113">
        <f t="shared" si="15"/>
        <v>292</v>
      </c>
      <c r="O35" s="113">
        <f t="shared" si="16"/>
        <v>300</v>
      </c>
      <c r="P35" s="237">
        <f t="shared" si="17"/>
        <v>411</v>
      </c>
      <c r="Q35" s="281">
        <f t="shared" si="34"/>
        <v>90.72</v>
      </c>
      <c r="R35" s="282">
        <f t="shared" si="35"/>
        <v>90.72</v>
      </c>
      <c r="S35" s="236"/>
      <c r="T35" s="236">
        <v>82.39</v>
      </c>
      <c r="U35" s="236">
        <v>171.64</v>
      </c>
      <c r="V35" s="236">
        <v>194.17</v>
      </c>
      <c r="W35" s="236">
        <v>227.42</v>
      </c>
      <c r="X35" s="236">
        <v>247.87</v>
      </c>
      <c r="Y35" s="236">
        <v>265.66000000000003</v>
      </c>
      <c r="Z35" s="236">
        <v>273.44</v>
      </c>
      <c r="AA35" s="236">
        <v>375.44</v>
      </c>
      <c r="AC35">
        <f t="shared" si="36"/>
        <v>9.4499999999999993</v>
      </c>
      <c r="AD35">
        <f t="shared" si="18"/>
        <v>10.65</v>
      </c>
      <c r="AE35">
        <f t="shared" si="19"/>
        <v>12.45</v>
      </c>
      <c r="AF35">
        <f t="shared" si="20"/>
        <v>13.6</v>
      </c>
      <c r="AG35">
        <f t="shared" si="21"/>
        <v>14.6</v>
      </c>
      <c r="AH35">
        <f t="shared" si="22"/>
        <v>15</v>
      </c>
      <c r="AI35">
        <f t="shared" si="23"/>
        <v>20.55</v>
      </c>
      <c r="AJ35">
        <f t="shared" si="24"/>
        <v>123</v>
      </c>
      <c r="AL35" s="294">
        <v>82.56</v>
      </c>
      <c r="AM35" t="str">
        <f t="shared" si="25"/>
        <v>MORON</v>
      </c>
      <c r="AN35">
        <f t="shared" si="37"/>
        <v>356</v>
      </c>
      <c r="AO35" s="352">
        <f t="shared" si="38"/>
        <v>310</v>
      </c>
      <c r="AP35" s="352">
        <f t="shared" si="39"/>
        <v>328</v>
      </c>
      <c r="AQ35" s="352">
        <f t="shared" si="40"/>
        <v>113</v>
      </c>
      <c r="AR35" s="282">
        <f t="shared" si="41"/>
        <v>356</v>
      </c>
      <c r="AS35" s="282">
        <f t="shared" si="42"/>
        <v>310</v>
      </c>
      <c r="AT35" s="282">
        <f t="shared" si="43"/>
        <v>328</v>
      </c>
      <c r="AU35" s="282">
        <f t="shared" si="44"/>
        <v>113</v>
      </c>
      <c r="AY35" t="s">
        <v>64</v>
      </c>
      <c r="AZ35">
        <v>99</v>
      </c>
      <c r="BA35" s="352">
        <v>113.06188999707084</v>
      </c>
      <c r="BB35" s="352">
        <v>188.80237941258432</v>
      </c>
      <c r="BC35" s="352">
        <v>212.95152096535674</v>
      </c>
      <c r="BD35" s="352">
        <v>249.17523329451535</v>
      </c>
      <c r="BE35" s="352">
        <v>272.07914305904944</v>
      </c>
      <c r="BF35" s="352">
        <v>291.8268227972062</v>
      </c>
      <c r="BG35" s="352">
        <v>299.50647602871163</v>
      </c>
      <c r="BH35" s="352">
        <v>310.33896735242905</v>
      </c>
      <c r="BI35" s="352">
        <v>327.74483732435954</v>
      </c>
      <c r="BJ35" s="352">
        <v>410.88675130094015</v>
      </c>
    </row>
    <row r="36" spans="1:62" ht="18" customHeight="1">
      <c r="A36" s="62" t="s">
        <v>65</v>
      </c>
      <c r="B36" s="334">
        <v>105</v>
      </c>
      <c r="C36" s="45">
        <f t="shared" si="27"/>
        <v>177</v>
      </c>
      <c r="D36" s="45">
        <f t="shared" si="28"/>
        <v>200</v>
      </c>
      <c r="E36" s="45">
        <f t="shared" si="29"/>
        <v>235</v>
      </c>
      <c r="F36" s="45">
        <f t="shared" si="30"/>
        <v>250</v>
      </c>
      <c r="G36" s="45">
        <f t="shared" si="31"/>
        <v>274</v>
      </c>
      <c r="H36" s="45">
        <f t="shared" si="32"/>
        <v>282</v>
      </c>
      <c r="I36" s="45">
        <f t="shared" si="33"/>
        <v>371</v>
      </c>
      <c r="J36" s="238">
        <f t="shared" si="11"/>
        <v>177</v>
      </c>
      <c r="K36" s="238">
        <f t="shared" si="12"/>
        <v>200</v>
      </c>
      <c r="L36" s="238">
        <f t="shared" si="13"/>
        <v>235</v>
      </c>
      <c r="M36" s="239">
        <f t="shared" si="14"/>
        <v>250</v>
      </c>
      <c r="N36" s="238">
        <f t="shared" si="15"/>
        <v>274</v>
      </c>
      <c r="O36" s="238">
        <f t="shared" si="16"/>
        <v>282</v>
      </c>
      <c r="P36" s="247">
        <f t="shared" si="17"/>
        <v>371</v>
      </c>
      <c r="Q36" s="281">
        <f t="shared" si="34"/>
        <v>84.960000000000008</v>
      </c>
      <c r="R36" s="282">
        <f t="shared" si="35"/>
        <v>84.960000000000008</v>
      </c>
      <c r="S36" s="236"/>
      <c r="T36" s="236">
        <v>76.349999999999994</v>
      </c>
      <c r="U36" s="236">
        <v>159.06</v>
      </c>
      <c r="V36" s="236">
        <v>179.96</v>
      </c>
      <c r="W36" s="236">
        <v>211.31</v>
      </c>
      <c r="X36" s="236">
        <v>224.68</v>
      </c>
      <c r="Y36" s="236">
        <v>246.46</v>
      </c>
      <c r="Z36" s="236">
        <v>254.48</v>
      </c>
      <c r="AA36" s="236">
        <v>334.48</v>
      </c>
      <c r="AC36">
        <f t="shared" si="36"/>
        <v>8.85</v>
      </c>
      <c r="AD36">
        <f t="shared" si="18"/>
        <v>10</v>
      </c>
      <c r="AE36">
        <f t="shared" si="19"/>
        <v>11.75</v>
      </c>
      <c r="AF36">
        <f t="shared" si="20"/>
        <v>12.5</v>
      </c>
      <c r="AG36">
        <f t="shared" si="21"/>
        <v>13.7</v>
      </c>
      <c r="AH36">
        <f t="shared" si="22"/>
        <v>14.1</v>
      </c>
      <c r="AI36">
        <f t="shared" si="23"/>
        <v>18.55</v>
      </c>
      <c r="AJ36">
        <f t="shared" si="24"/>
        <v>116</v>
      </c>
      <c r="AL36" s="294">
        <v>76.319999999999993</v>
      </c>
      <c r="AM36" t="str">
        <f t="shared" si="25"/>
        <v>VALLES DEL TUY</v>
      </c>
      <c r="AN36">
        <f t="shared" si="37"/>
        <v>327</v>
      </c>
      <c r="AO36" s="352">
        <f t="shared" si="38"/>
        <v>291</v>
      </c>
      <c r="AP36" s="352">
        <f t="shared" si="39"/>
        <v>304</v>
      </c>
      <c r="AQ36" s="352">
        <f t="shared" si="40"/>
        <v>106</v>
      </c>
      <c r="AR36" s="282">
        <f t="shared" si="41"/>
        <v>327</v>
      </c>
      <c r="AS36" s="282">
        <f t="shared" si="42"/>
        <v>291</v>
      </c>
      <c r="AT36" s="282">
        <f t="shared" si="43"/>
        <v>304</v>
      </c>
      <c r="AU36" s="282">
        <f t="shared" si="44"/>
        <v>106</v>
      </c>
      <c r="AY36" t="s">
        <v>65</v>
      </c>
      <c r="AZ36">
        <v>105</v>
      </c>
      <c r="BA36" s="352">
        <v>105.69579195696096</v>
      </c>
      <c r="BB36" s="352">
        <v>176.90137811743992</v>
      </c>
      <c r="BC36" s="352">
        <v>200.26571107634709</v>
      </c>
      <c r="BD36" s="352">
        <v>234.75591687282912</v>
      </c>
      <c r="BE36" s="352">
        <v>250.15624349272082</v>
      </c>
      <c r="BF36" s="352">
        <v>273.50415955204141</v>
      </c>
      <c r="BG36" s="352">
        <v>282.39860376511592</v>
      </c>
      <c r="BH36" s="352">
        <v>291.12502834360896</v>
      </c>
      <c r="BI36" s="352">
        <v>304.29042008067671</v>
      </c>
      <c r="BJ36" s="352">
        <v>370.72884684837322</v>
      </c>
    </row>
    <row r="37" spans="1:62" ht="16.5" customHeight="1">
      <c r="A37" s="242" t="s">
        <v>66</v>
      </c>
      <c r="B37" s="335"/>
      <c r="C37" s="45">
        <f t="shared" si="27"/>
        <v>0</v>
      </c>
      <c r="D37" s="45">
        <f t="shared" si="28"/>
        <v>0</v>
      </c>
      <c r="E37" s="45">
        <f t="shared" si="29"/>
        <v>0</v>
      </c>
      <c r="F37" s="45">
        <f t="shared" si="30"/>
        <v>0</v>
      </c>
      <c r="G37" s="45">
        <f t="shared" si="31"/>
        <v>0</v>
      </c>
      <c r="H37" s="45">
        <f t="shared" si="32"/>
        <v>0</v>
      </c>
      <c r="I37" s="45">
        <f t="shared" si="33"/>
        <v>0</v>
      </c>
      <c r="J37" s="243"/>
      <c r="K37" s="243"/>
      <c r="L37" s="243"/>
      <c r="M37" s="244"/>
      <c r="N37" s="243"/>
      <c r="O37" s="243"/>
      <c r="P37" s="245"/>
      <c r="Q37" s="245"/>
      <c r="R37" s="245"/>
      <c r="S37" s="236"/>
      <c r="T37" s="245"/>
      <c r="U37" s="245"/>
      <c r="V37" s="245"/>
      <c r="W37" s="245"/>
      <c r="X37" s="245"/>
      <c r="Y37" s="245"/>
      <c r="Z37" s="245"/>
      <c r="AA37" s="245">
        <v>0</v>
      </c>
      <c r="AC37">
        <f t="shared" si="36"/>
        <v>0</v>
      </c>
      <c r="AD37">
        <f t="shared" si="18"/>
        <v>0</v>
      </c>
      <c r="AE37">
        <f t="shared" si="19"/>
        <v>0</v>
      </c>
      <c r="AF37">
        <f t="shared" si="20"/>
        <v>0</v>
      </c>
      <c r="AG37">
        <f t="shared" si="21"/>
        <v>0</v>
      </c>
      <c r="AH37">
        <f t="shared" si="22"/>
        <v>0</v>
      </c>
      <c r="AI37">
        <f t="shared" si="23"/>
        <v>0</v>
      </c>
      <c r="AJ37">
        <f t="shared" si="24"/>
        <v>0</v>
      </c>
      <c r="AL37" s="294"/>
      <c r="AM37" t="str">
        <f t="shared" si="25"/>
        <v>Región Capital</v>
      </c>
      <c r="AN37">
        <f t="shared" si="37"/>
        <v>0</v>
      </c>
      <c r="AO37" s="352">
        <f t="shared" si="38"/>
        <v>0</v>
      </c>
      <c r="AP37" s="352">
        <f t="shared" si="39"/>
        <v>0</v>
      </c>
      <c r="AQ37" s="352">
        <f t="shared" si="40"/>
        <v>0</v>
      </c>
      <c r="AR37" s="282">
        <f t="shared" si="41"/>
        <v>0</v>
      </c>
      <c r="AS37" s="282">
        <f t="shared" si="42"/>
        <v>0</v>
      </c>
      <c r="AT37" s="282">
        <f t="shared" si="43"/>
        <v>0</v>
      </c>
      <c r="AU37" s="282">
        <f t="shared" si="44"/>
        <v>0</v>
      </c>
    </row>
    <row r="38" spans="1:62">
      <c r="A38" s="62" t="s">
        <v>67</v>
      </c>
      <c r="B38" s="336">
        <v>75</v>
      </c>
      <c r="C38" s="45">
        <f t="shared" si="27"/>
        <v>159</v>
      </c>
      <c r="D38" s="45">
        <f t="shared" si="28"/>
        <v>179</v>
      </c>
      <c r="E38" s="45">
        <f t="shared" si="29"/>
        <v>210</v>
      </c>
      <c r="F38" s="45">
        <f t="shared" si="30"/>
        <v>216</v>
      </c>
      <c r="G38" s="45">
        <f t="shared" si="31"/>
        <v>228</v>
      </c>
      <c r="H38" s="45">
        <f t="shared" si="32"/>
        <v>253</v>
      </c>
      <c r="I38" s="45">
        <f t="shared" si="33"/>
        <v>336</v>
      </c>
      <c r="J38" s="240">
        <f t="shared" ref="J38:P44" si="177">C38*$M$1</f>
        <v>159</v>
      </c>
      <c r="K38" s="240">
        <f t="shared" si="177"/>
        <v>179</v>
      </c>
      <c r="L38" s="240">
        <f t="shared" si="177"/>
        <v>210</v>
      </c>
      <c r="M38" s="241">
        <f t="shared" si="177"/>
        <v>216</v>
      </c>
      <c r="N38" s="240">
        <f t="shared" si="177"/>
        <v>228</v>
      </c>
      <c r="O38" s="240">
        <f t="shared" si="177"/>
        <v>253</v>
      </c>
      <c r="P38" s="248">
        <f t="shared" si="177"/>
        <v>336</v>
      </c>
      <c r="Q38" s="281">
        <f t="shared" si="34"/>
        <v>76.319999999999993</v>
      </c>
      <c r="R38" s="282">
        <f t="shared" si="35"/>
        <v>76.319999999999993</v>
      </c>
      <c r="S38" s="236"/>
      <c r="T38" s="236">
        <v>69.98</v>
      </c>
      <c r="U38" s="236">
        <v>145.79</v>
      </c>
      <c r="V38" s="236">
        <v>164.57</v>
      </c>
      <c r="W38" s="236">
        <v>193.29</v>
      </c>
      <c r="X38" s="236">
        <v>199.17</v>
      </c>
      <c r="Y38" s="236">
        <v>210.17</v>
      </c>
      <c r="Z38" s="236">
        <v>233.28</v>
      </c>
      <c r="AA38" s="236">
        <v>309.27999999999997</v>
      </c>
      <c r="AC38">
        <f t="shared" si="36"/>
        <v>7.95</v>
      </c>
      <c r="AD38">
        <f t="shared" si="18"/>
        <v>8.9499999999999993</v>
      </c>
      <c r="AE38">
        <f t="shared" si="19"/>
        <v>10.5</v>
      </c>
      <c r="AF38">
        <f t="shared" si="20"/>
        <v>10.8</v>
      </c>
      <c r="AG38">
        <f t="shared" si="21"/>
        <v>11.4</v>
      </c>
      <c r="AH38">
        <f t="shared" si="22"/>
        <v>12.65</v>
      </c>
      <c r="AI38">
        <f t="shared" si="23"/>
        <v>16.8</v>
      </c>
      <c r="AJ38">
        <f t="shared" si="24"/>
        <v>104</v>
      </c>
      <c r="AL38" s="294">
        <v>70.08</v>
      </c>
      <c r="AM38" t="str">
        <f t="shared" si="25"/>
        <v>LOS TEQUES</v>
      </c>
      <c r="AN38">
        <f t="shared" si="37"/>
        <v>295</v>
      </c>
      <c r="AO38" s="352">
        <f t="shared" si="38"/>
        <v>262</v>
      </c>
      <c r="AP38" s="352">
        <f t="shared" si="39"/>
        <v>274</v>
      </c>
      <c r="AQ38" s="352">
        <f t="shared" si="40"/>
        <v>96</v>
      </c>
      <c r="AR38" s="282">
        <f t="shared" si="41"/>
        <v>295</v>
      </c>
      <c r="AS38" s="282">
        <f t="shared" si="42"/>
        <v>262</v>
      </c>
      <c r="AT38" s="282">
        <f t="shared" si="43"/>
        <v>274</v>
      </c>
      <c r="AU38" s="282">
        <f t="shared" si="44"/>
        <v>96</v>
      </c>
      <c r="AY38" t="s">
        <v>67</v>
      </c>
      <c r="AZ38">
        <v>75</v>
      </c>
      <c r="BA38" s="352">
        <v>95.700354887816076</v>
      </c>
      <c r="BB38" s="352">
        <v>158.77558879114937</v>
      </c>
      <c r="BC38" s="352">
        <v>179.43816541465512</v>
      </c>
      <c r="BD38" s="352">
        <v>209.8882783335057</v>
      </c>
      <c r="BE38" s="352">
        <v>216.31876344825952</v>
      </c>
      <c r="BF38" s="352">
        <v>228.27608203082661</v>
      </c>
      <c r="BG38" s="352">
        <v>253.2777481580124</v>
      </c>
      <c r="BH38" s="352">
        <v>261.88009073514695</v>
      </c>
      <c r="BI38" s="352">
        <v>273.7389945507922</v>
      </c>
      <c r="BJ38" s="352">
        <v>335.54665036609674</v>
      </c>
    </row>
    <row r="39" spans="1:62">
      <c r="A39" s="62" t="s">
        <v>46</v>
      </c>
      <c r="B39" s="333">
        <v>121</v>
      </c>
      <c r="C39" s="45">
        <f t="shared" si="27"/>
        <v>200</v>
      </c>
      <c r="D39" s="45">
        <f t="shared" si="28"/>
        <v>228</v>
      </c>
      <c r="E39" s="45">
        <f t="shared" si="29"/>
        <v>267</v>
      </c>
      <c r="F39" s="45">
        <f t="shared" si="30"/>
        <v>279</v>
      </c>
      <c r="G39" s="45">
        <f t="shared" si="31"/>
        <v>289</v>
      </c>
      <c r="H39" s="45">
        <f t="shared" si="32"/>
        <v>321</v>
      </c>
      <c r="I39" s="45">
        <f t="shared" si="33"/>
        <v>431</v>
      </c>
      <c r="J39" s="113">
        <f t="shared" si="177"/>
        <v>200</v>
      </c>
      <c r="K39" s="113">
        <f t="shared" si="177"/>
        <v>228</v>
      </c>
      <c r="L39" s="113">
        <f t="shared" si="177"/>
        <v>267</v>
      </c>
      <c r="M39" s="234">
        <f t="shared" si="177"/>
        <v>279</v>
      </c>
      <c r="N39" s="113">
        <f t="shared" si="177"/>
        <v>289</v>
      </c>
      <c r="O39" s="113">
        <f t="shared" si="177"/>
        <v>321</v>
      </c>
      <c r="P39" s="237">
        <f t="shared" si="177"/>
        <v>431</v>
      </c>
      <c r="Q39" s="281">
        <f t="shared" si="34"/>
        <v>96</v>
      </c>
      <c r="R39" s="282">
        <f t="shared" si="35"/>
        <v>96</v>
      </c>
      <c r="S39" s="236"/>
      <c r="T39" s="236">
        <v>86.46</v>
      </c>
      <c r="U39" s="236">
        <v>180.13</v>
      </c>
      <c r="V39" s="236">
        <v>204.59</v>
      </c>
      <c r="W39" s="236">
        <v>240.17</v>
      </c>
      <c r="X39" s="236">
        <v>250.97</v>
      </c>
      <c r="Y39" s="236">
        <v>260.05</v>
      </c>
      <c r="Z39" s="236">
        <v>288.44</v>
      </c>
      <c r="AA39" s="236">
        <v>388.44</v>
      </c>
      <c r="AC39">
        <f t="shared" si="36"/>
        <v>10</v>
      </c>
      <c r="AD39">
        <f t="shared" si="18"/>
        <v>11.4</v>
      </c>
      <c r="AE39">
        <f t="shared" si="19"/>
        <v>13.35</v>
      </c>
      <c r="AF39">
        <f t="shared" si="20"/>
        <v>13.95</v>
      </c>
      <c r="AG39">
        <f t="shared" si="21"/>
        <v>14.45</v>
      </c>
      <c r="AH39">
        <f t="shared" si="22"/>
        <v>16.05</v>
      </c>
      <c r="AI39">
        <f t="shared" si="23"/>
        <v>21.55</v>
      </c>
      <c r="AJ39">
        <f t="shared" si="24"/>
        <v>131</v>
      </c>
      <c r="AL39" s="294">
        <v>86.4</v>
      </c>
      <c r="AM39" t="str">
        <f t="shared" si="25"/>
        <v>CARACAS</v>
      </c>
      <c r="AN39">
        <f t="shared" si="37"/>
        <v>376</v>
      </c>
      <c r="AO39" s="352">
        <f t="shared" si="38"/>
        <v>331</v>
      </c>
      <c r="AP39" s="352">
        <f t="shared" si="39"/>
        <v>348</v>
      </c>
      <c r="AQ39" s="352">
        <f t="shared" si="40"/>
        <v>120</v>
      </c>
      <c r="AR39" s="282">
        <f t="shared" si="41"/>
        <v>376</v>
      </c>
      <c r="AS39" s="282">
        <f t="shared" si="42"/>
        <v>331</v>
      </c>
      <c r="AT39" s="282">
        <f t="shared" si="43"/>
        <v>348</v>
      </c>
      <c r="AU39" s="282">
        <f t="shared" si="44"/>
        <v>120</v>
      </c>
      <c r="AY39" t="s">
        <v>46</v>
      </c>
      <c r="AZ39">
        <v>121</v>
      </c>
      <c r="BA39" s="352">
        <v>120.27707047554148</v>
      </c>
      <c r="BB39" s="352">
        <v>200.46178412590248</v>
      </c>
      <c r="BC39" s="352">
        <v>228.3036985878334</v>
      </c>
      <c r="BD39" s="352">
        <v>267.28237883453664</v>
      </c>
      <c r="BE39" s="352">
        <v>279.33211161371059</v>
      </c>
      <c r="BF39" s="352">
        <v>289.348004062011</v>
      </c>
      <c r="BG39" s="352">
        <v>320.50855834561219</v>
      </c>
      <c r="BH39" s="352">
        <v>331.44126230957744</v>
      </c>
      <c r="BI39" s="352">
        <v>347.92762400550049</v>
      </c>
      <c r="BJ39" s="352">
        <v>431.06682553018601</v>
      </c>
    </row>
    <row r="40" spans="1:62">
      <c r="A40" s="62" t="s">
        <v>366</v>
      </c>
      <c r="B40" s="333">
        <v>157</v>
      </c>
      <c r="C40" s="45">
        <f t="shared" si="27"/>
        <v>218</v>
      </c>
      <c r="D40" s="45">
        <f t="shared" si="28"/>
        <v>245</v>
      </c>
      <c r="E40" s="45">
        <f t="shared" si="29"/>
        <v>290</v>
      </c>
      <c r="F40" s="45">
        <f t="shared" si="30"/>
        <v>299</v>
      </c>
      <c r="G40" s="45">
        <f t="shared" si="31"/>
        <v>313</v>
      </c>
      <c r="H40" s="45">
        <f t="shared" si="32"/>
        <v>347</v>
      </c>
      <c r="I40" s="45">
        <f t="shared" si="33"/>
        <v>461</v>
      </c>
      <c r="J40" s="113">
        <f t="shared" si="177"/>
        <v>218</v>
      </c>
      <c r="K40" s="113">
        <f t="shared" si="177"/>
        <v>245</v>
      </c>
      <c r="L40" s="113">
        <f t="shared" si="177"/>
        <v>290</v>
      </c>
      <c r="M40" s="234">
        <f t="shared" si="177"/>
        <v>299</v>
      </c>
      <c r="N40" s="113">
        <f t="shared" si="177"/>
        <v>313</v>
      </c>
      <c r="O40" s="113">
        <f t="shared" si="177"/>
        <v>347</v>
      </c>
      <c r="P40" s="237">
        <f t="shared" si="177"/>
        <v>461</v>
      </c>
      <c r="Q40" s="281">
        <f t="shared" si="34"/>
        <v>104.63999999999999</v>
      </c>
      <c r="R40" s="282">
        <f t="shared" si="35"/>
        <v>104.63999999999999</v>
      </c>
      <c r="S40" s="236"/>
      <c r="T40" s="236">
        <v>91.63</v>
      </c>
      <c r="U40" s="236">
        <v>190.89</v>
      </c>
      <c r="V40" s="236">
        <v>215.03</v>
      </c>
      <c r="W40" s="236">
        <v>254.13</v>
      </c>
      <c r="X40" s="236">
        <v>263.29000000000002</v>
      </c>
      <c r="Y40" s="236">
        <v>274.83999999999997</v>
      </c>
      <c r="Z40" s="236">
        <v>304.86</v>
      </c>
      <c r="AA40" s="236">
        <v>406.48</v>
      </c>
      <c r="AC40">
        <f t="shared" si="36"/>
        <v>10.9</v>
      </c>
      <c r="AD40">
        <f t="shared" si="18"/>
        <v>12.25</v>
      </c>
      <c r="AE40">
        <f t="shared" si="19"/>
        <v>14.5</v>
      </c>
      <c r="AF40">
        <f t="shared" si="20"/>
        <v>14.95</v>
      </c>
      <c r="AG40">
        <f t="shared" si="21"/>
        <v>15.65</v>
      </c>
      <c r="AH40">
        <f t="shared" si="22"/>
        <v>17.350000000000001</v>
      </c>
      <c r="AI40">
        <f t="shared" si="23"/>
        <v>23.05</v>
      </c>
      <c r="AJ40">
        <f t="shared" si="24"/>
        <v>142</v>
      </c>
      <c r="AL40" s="294">
        <v>91.679999999999993</v>
      </c>
      <c r="AM40" t="str">
        <f t="shared" si="25"/>
        <v>MAMPOTE</v>
      </c>
      <c r="AN40">
        <f t="shared" si="37"/>
        <v>404</v>
      </c>
      <c r="AO40" s="352">
        <f t="shared" si="38"/>
        <v>358</v>
      </c>
      <c r="AP40" s="352">
        <f t="shared" si="39"/>
        <v>375</v>
      </c>
      <c r="AQ40" s="352">
        <f t="shared" si="40"/>
        <v>131</v>
      </c>
      <c r="AR40" s="282">
        <f t="shared" si="41"/>
        <v>404</v>
      </c>
      <c r="AS40" s="282">
        <f t="shared" si="42"/>
        <v>358</v>
      </c>
      <c r="AT40" s="282">
        <f t="shared" si="43"/>
        <v>375</v>
      </c>
      <c r="AU40" s="282">
        <f t="shared" si="44"/>
        <v>131</v>
      </c>
      <c r="AY40" t="s">
        <v>68</v>
      </c>
      <c r="AZ40">
        <v>157</v>
      </c>
      <c r="BA40" s="352">
        <v>131.07312556491473</v>
      </c>
      <c r="BB40" s="352">
        <v>217.69536506868445</v>
      </c>
      <c r="BC40" s="352">
        <v>245.04975649092754</v>
      </c>
      <c r="BD40" s="352">
        <v>289.50064255207258</v>
      </c>
      <c r="BE40" s="352">
        <v>299.44203578552197</v>
      </c>
      <c r="BF40" s="352">
        <v>313.10479027003248</v>
      </c>
      <c r="BG40" s="352">
        <v>347.26167648130877</v>
      </c>
      <c r="BH40" s="352">
        <v>358.33638940163803</v>
      </c>
      <c r="BI40" s="352">
        <v>375.08862949843569</v>
      </c>
      <c r="BJ40" s="352">
        <v>461.11145845491791</v>
      </c>
    </row>
    <row r="41" spans="1:62">
      <c r="A41" s="62" t="s">
        <v>367</v>
      </c>
      <c r="B41" s="333">
        <v>157</v>
      </c>
      <c r="C41" s="45">
        <f t="shared" ref="C41:C42" si="178">ROUND(BB41,0)</f>
        <v>218</v>
      </c>
      <c r="D41" s="45">
        <f t="shared" ref="D41:D42" si="179">ROUND(BC41,0)</f>
        <v>245</v>
      </c>
      <c r="E41" s="45">
        <f t="shared" ref="E41:E42" si="180">ROUND(BD41,0)</f>
        <v>290</v>
      </c>
      <c r="F41" s="45">
        <f t="shared" ref="F41:F42" si="181">ROUND(BE41,0)</f>
        <v>299</v>
      </c>
      <c r="G41" s="45">
        <f t="shared" ref="G41:G42" si="182">ROUND(BF41,0)</f>
        <v>313</v>
      </c>
      <c r="H41" s="45">
        <f t="shared" ref="H41:H42" si="183">ROUND(BG41,0)</f>
        <v>347</v>
      </c>
      <c r="I41" s="45">
        <f t="shared" ref="I41:I42" si="184">ROUND(BJ41,0)</f>
        <v>461</v>
      </c>
      <c r="J41" s="113">
        <f t="shared" ref="J41:J42" si="185">C41*$M$1</f>
        <v>218</v>
      </c>
      <c r="K41" s="113">
        <f t="shared" ref="K41:K42" si="186">D41*$M$1</f>
        <v>245</v>
      </c>
      <c r="L41" s="113">
        <f t="shared" ref="L41:L42" si="187">E41*$M$1</f>
        <v>290</v>
      </c>
      <c r="M41" s="234">
        <f t="shared" ref="M41:M42" si="188">F41*$M$1</f>
        <v>299</v>
      </c>
      <c r="N41" s="113">
        <f t="shared" ref="N41:N42" si="189">G41*$M$1</f>
        <v>313</v>
      </c>
      <c r="O41" s="113">
        <f t="shared" ref="O41:O42" si="190">H41*$M$1</f>
        <v>347</v>
      </c>
      <c r="P41" s="237">
        <f t="shared" ref="P41:P42" si="191">I41*$M$1</f>
        <v>461</v>
      </c>
      <c r="Q41" s="281">
        <f t="shared" ref="Q41:Q42" si="192">1.2*C41/2.5</f>
        <v>104.63999999999999</v>
      </c>
      <c r="R41" s="282">
        <f t="shared" ref="R41:R42" si="193">Q41*$M$1</f>
        <v>104.63999999999999</v>
      </c>
      <c r="S41" s="236"/>
      <c r="T41" s="236">
        <v>91.63</v>
      </c>
      <c r="U41" s="236">
        <v>190.89</v>
      </c>
      <c r="V41" s="236">
        <v>215.03</v>
      </c>
      <c r="W41" s="236">
        <v>254.13</v>
      </c>
      <c r="X41" s="236">
        <v>263.29000000000002</v>
      </c>
      <c r="Y41" s="236">
        <v>274.83999999999997</v>
      </c>
      <c r="Z41" s="236">
        <v>304.86</v>
      </c>
      <c r="AA41" s="236">
        <v>406.48</v>
      </c>
      <c r="AC41">
        <f t="shared" ref="AC41:AC42" si="194">C41/($B$16*2)</f>
        <v>10.9</v>
      </c>
      <c r="AD41">
        <f t="shared" ref="AD41:AD42" si="195">D41/($B$16*2)</f>
        <v>12.25</v>
      </c>
      <c r="AE41">
        <f t="shared" ref="AE41:AE42" si="196">E41/($B$16*2)</f>
        <v>14.5</v>
      </c>
      <c r="AF41">
        <f t="shared" ref="AF41:AF42" si="197">F41/($B$16*2)</f>
        <v>14.95</v>
      </c>
      <c r="AG41">
        <f t="shared" ref="AG41:AG42" si="198">G41/($B$16*2)</f>
        <v>15.65</v>
      </c>
      <c r="AH41">
        <f t="shared" ref="AH41:AH42" si="199">H41/($B$16*2)</f>
        <v>17.350000000000001</v>
      </c>
      <c r="AI41">
        <f t="shared" ref="AI41:AI42" si="200">I41/($B$16*2)</f>
        <v>23.05</v>
      </c>
      <c r="AJ41">
        <f t="shared" ref="AJ41:AJ42" si="201">ROUND(((Q41-C41)/(2.5-1))+C41,0)</f>
        <v>142</v>
      </c>
      <c r="AL41" s="354">
        <v>91.679999999999993</v>
      </c>
      <c r="AM41" t="str">
        <f t="shared" ref="AM41:AM42" si="202">A41</f>
        <v>GUARENAS</v>
      </c>
      <c r="AN41">
        <f t="shared" ref="AN41:AN42" si="203">ROUND(H41+((20-10)/(30-10)*(I41-H41)),0)</f>
        <v>404</v>
      </c>
      <c r="AO41" s="352">
        <f t="shared" ref="AO41:AO42" si="204">ROUND(BH41,0)</f>
        <v>358</v>
      </c>
      <c r="AP41" s="352">
        <f t="shared" ref="AP41:AP42" si="205">ROUND(BI41,0)</f>
        <v>375</v>
      </c>
      <c r="AQ41" s="352">
        <f t="shared" ref="AQ41:AQ42" si="206">ROUND(BA41,0)</f>
        <v>131</v>
      </c>
      <c r="AR41" s="282">
        <f t="shared" ref="AR41:AR42" si="207">AN41*$M$1</f>
        <v>404</v>
      </c>
      <c r="AS41" s="282">
        <f t="shared" ref="AS41:AS42" si="208">AO41*$M$1</f>
        <v>358</v>
      </c>
      <c r="AT41" s="282">
        <f t="shared" ref="AT41:AT42" si="209">AP41*$M$1</f>
        <v>375</v>
      </c>
      <c r="AU41" s="282">
        <f t="shared" ref="AU41:AU42" si="210">AQ41*$M$1</f>
        <v>131</v>
      </c>
      <c r="AY41" t="s">
        <v>68</v>
      </c>
      <c r="AZ41">
        <v>157</v>
      </c>
      <c r="BA41" s="352">
        <v>131.07312556491473</v>
      </c>
      <c r="BB41" s="352">
        <v>217.69536506868445</v>
      </c>
      <c r="BC41" s="352">
        <v>245.04975649092754</v>
      </c>
      <c r="BD41" s="352">
        <v>289.50064255207258</v>
      </c>
      <c r="BE41" s="352">
        <v>299.44203578552197</v>
      </c>
      <c r="BF41" s="352">
        <v>313.10479027003248</v>
      </c>
      <c r="BG41" s="352">
        <v>347.26167648130877</v>
      </c>
      <c r="BH41" s="352">
        <v>358.33638940163803</v>
      </c>
      <c r="BI41" s="352">
        <v>375.08862949843569</v>
      </c>
      <c r="BJ41" s="352">
        <v>461.11145845491791</v>
      </c>
    </row>
    <row r="42" spans="1:62">
      <c r="A42" s="62" t="s">
        <v>368</v>
      </c>
      <c r="B42" s="333">
        <v>157</v>
      </c>
      <c r="C42" s="45">
        <f t="shared" si="178"/>
        <v>218</v>
      </c>
      <c r="D42" s="45">
        <f t="shared" si="179"/>
        <v>245</v>
      </c>
      <c r="E42" s="45">
        <f t="shared" si="180"/>
        <v>290</v>
      </c>
      <c r="F42" s="45">
        <f t="shared" si="181"/>
        <v>299</v>
      </c>
      <c r="G42" s="45">
        <f t="shared" si="182"/>
        <v>313</v>
      </c>
      <c r="H42" s="45">
        <f t="shared" si="183"/>
        <v>347</v>
      </c>
      <c r="I42" s="45">
        <f t="shared" si="184"/>
        <v>461</v>
      </c>
      <c r="J42" s="113">
        <f t="shared" si="185"/>
        <v>218</v>
      </c>
      <c r="K42" s="113">
        <f t="shared" si="186"/>
        <v>245</v>
      </c>
      <c r="L42" s="113">
        <f t="shared" si="187"/>
        <v>290</v>
      </c>
      <c r="M42" s="234">
        <f t="shared" si="188"/>
        <v>299</v>
      </c>
      <c r="N42" s="113">
        <f t="shared" si="189"/>
        <v>313</v>
      </c>
      <c r="O42" s="113">
        <f t="shared" si="190"/>
        <v>347</v>
      </c>
      <c r="P42" s="237">
        <f t="shared" si="191"/>
        <v>461</v>
      </c>
      <c r="Q42" s="281">
        <f t="shared" si="192"/>
        <v>104.63999999999999</v>
      </c>
      <c r="R42" s="282">
        <f t="shared" si="193"/>
        <v>104.63999999999999</v>
      </c>
      <c r="S42" s="236"/>
      <c r="T42" s="236">
        <v>91.63</v>
      </c>
      <c r="U42" s="236">
        <v>190.89</v>
      </c>
      <c r="V42" s="236">
        <v>215.03</v>
      </c>
      <c r="W42" s="236">
        <v>254.13</v>
      </c>
      <c r="X42" s="236">
        <v>263.29000000000002</v>
      </c>
      <c r="Y42" s="236">
        <v>274.83999999999997</v>
      </c>
      <c r="Z42" s="236">
        <v>304.86</v>
      </c>
      <c r="AA42" s="236">
        <v>406.48</v>
      </c>
      <c r="AC42">
        <f t="shared" si="194"/>
        <v>10.9</v>
      </c>
      <c r="AD42">
        <f t="shared" si="195"/>
        <v>12.25</v>
      </c>
      <c r="AE42">
        <f t="shared" si="196"/>
        <v>14.5</v>
      </c>
      <c r="AF42">
        <f t="shared" si="197"/>
        <v>14.95</v>
      </c>
      <c r="AG42">
        <f t="shared" si="198"/>
        <v>15.65</v>
      </c>
      <c r="AH42">
        <f t="shared" si="199"/>
        <v>17.350000000000001</v>
      </c>
      <c r="AI42">
        <f t="shared" si="200"/>
        <v>23.05</v>
      </c>
      <c r="AJ42">
        <f t="shared" si="201"/>
        <v>142</v>
      </c>
      <c r="AL42" s="354">
        <v>91.679999999999993</v>
      </c>
      <c r="AM42" t="str">
        <f t="shared" si="202"/>
        <v>GUATIRE</v>
      </c>
      <c r="AN42">
        <f t="shared" si="203"/>
        <v>404</v>
      </c>
      <c r="AO42" s="352">
        <f t="shared" si="204"/>
        <v>358</v>
      </c>
      <c r="AP42" s="352">
        <f t="shared" si="205"/>
        <v>375</v>
      </c>
      <c r="AQ42" s="352">
        <f t="shared" si="206"/>
        <v>131</v>
      </c>
      <c r="AR42" s="282">
        <f t="shared" si="207"/>
        <v>404</v>
      </c>
      <c r="AS42" s="282">
        <f t="shared" si="208"/>
        <v>358</v>
      </c>
      <c r="AT42" s="282">
        <f t="shared" si="209"/>
        <v>375</v>
      </c>
      <c r="AU42" s="282">
        <f t="shared" si="210"/>
        <v>131</v>
      </c>
      <c r="AY42" t="s">
        <v>68</v>
      </c>
      <c r="AZ42">
        <v>157</v>
      </c>
      <c r="BA42" s="352">
        <v>131.07312556491473</v>
      </c>
      <c r="BB42" s="352">
        <v>217.69536506868445</v>
      </c>
      <c r="BC42" s="352">
        <v>245.04975649092754</v>
      </c>
      <c r="BD42" s="352">
        <v>289.50064255207258</v>
      </c>
      <c r="BE42" s="352">
        <v>299.44203578552197</v>
      </c>
      <c r="BF42" s="352">
        <v>313.10479027003248</v>
      </c>
      <c r="BG42" s="352">
        <v>347.26167648130877</v>
      </c>
      <c r="BH42" s="352">
        <v>358.33638940163803</v>
      </c>
      <c r="BI42" s="352">
        <v>375.08862949843569</v>
      </c>
      <c r="BJ42" s="352">
        <v>461.11145845491791</v>
      </c>
    </row>
    <row r="43" spans="1:62">
      <c r="A43" s="62" t="s">
        <v>69</v>
      </c>
      <c r="B43" s="333">
        <v>163</v>
      </c>
      <c r="C43" s="45">
        <f t="shared" si="27"/>
        <v>218</v>
      </c>
      <c r="D43" s="45">
        <f t="shared" si="28"/>
        <v>246</v>
      </c>
      <c r="E43" s="45">
        <f t="shared" si="29"/>
        <v>290</v>
      </c>
      <c r="F43" s="45">
        <f t="shared" si="30"/>
        <v>293</v>
      </c>
      <c r="G43" s="45">
        <f t="shared" si="31"/>
        <v>314</v>
      </c>
      <c r="H43" s="45">
        <f t="shared" si="32"/>
        <v>348</v>
      </c>
      <c r="I43" s="45">
        <f t="shared" si="33"/>
        <v>462</v>
      </c>
      <c r="J43" s="113">
        <f t="shared" si="177"/>
        <v>218</v>
      </c>
      <c r="K43" s="113">
        <f t="shared" si="177"/>
        <v>246</v>
      </c>
      <c r="L43" s="113">
        <f t="shared" si="177"/>
        <v>290</v>
      </c>
      <c r="M43" s="234">
        <f t="shared" si="177"/>
        <v>293</v>
      </c>
      <c r="N43" s="113">
        <f t="shared" si="177"/>
        <v>314</v>
      </c>
      <c r="O43" s="113">
        <f t="shared" si="177"/>
        <v>348</v>
      </c>
      <c r="P43" s="237">
        <f t="shared" si="177"/>
        <v>462</v>
      </c>
      <c r="Q43" s="281">
        <f t="shared" si="34"/>
        <v>104.63999999999999</v>
      </c>
      <c r="R43" s="282">
        <f t="shared" si="35"/>
        <v>104.63999999999999</v>
      </c>
      <c r="S43" s="236"/>
      <c r="T43" s="236">
        <v>91.11</v>
      </c>
      <c r="U43" s="236">
        <v>189.81</v>
      </c>
      <c r="V43" s="236">
        <v>215.49</v>
      </c>
      <c r="W43" s="236">
        <v>253.45</v>
      </c>
      <c r="X43" s="236">
        <v>255.88</v>
      </c>
      <c r="Y43" s="236">
        <v>274.08</v>
      </c>
      <c r="Z43" s="236">
        <v>304.06</v>
      </c>
      <c r="AA43" s="236">
        <v>405.41</v>
      </c>
      <c r="AC43">
        <f t="shared" si="36"/>
        <v>10.9</v>
      </c>
      <c r="AD43">
        <f t="shared" si="18"/>
        <v>12.3</v>
      </c>
      <c r="AE43">
        <f t="shared" si="19"/>
        <v>14.5</v>
      </c>
      <c r="AF43">
        <f t="shared" si="20"/>
        <v>14.65</v>
      </c>
      <c r="AG43">
        <f t="shared" si="21"/>
        <v>15.7</v>
      </c>
      <c r="AH43">
        <f t="shared" si="22"/>
        <v>17.399999999999999</v>
      </c>
      <c r="AI43">
        <f t="shared" si="23"/>
        <v>23.1</v>
      </c>
      <c r="AJ43">
        <f t="shared" si="24"/>
        <v>142</v>
      </c>
      <c r="AL43" s="294">
        <v>91.2</v>
      </c>
      <c r="AM43" t="str">
        <f t="shared" si="25"/>
        <v>CAUCAGUA</v>
      </c>
      <c r="AN43">
        <f t="shared" si="37"/>
        <v>405</v>
      </c>
      <c r="AO43" s="352">
        <f t="shared" si="38"/>
        <v>359</v>
      </c>
      <c r="AP43" s="352">
        <f t="shared" si="39"/>
        <v>376</v>
      </c>
      <c r="AQ43" s="352">
        <f t="shared" si="40"/>
        <v>131</v>
      </c>
      <c r="AR43" s="282">
        <f t="shared" si="41"/>
        <v>405</v>
      </c>
      <c r="AS43" s="282">
        <f t="shared" si="42"/>
        <v>359</v>
      </c>
      <c r="AT43" s="282">
        <f t="shared" si="43"/>
        <v>376</v>
      </c>
      <c r="AU43" s="282">
        <f t="shared" si="44"/>
        <v>131</v>
      </c>
      <c r="AY43" t="s">
        <v>69</v>
      </c>
      <c r="AZ43">
        <v>163</v>
      </c>
      <c r="BA43" s="352">
        <v>130.59726839304247</v>
      </c>
      <c r="BB43" s="352">
        <v>217.66211398840409</v>
      </c>
      <c r="BC43" s="352">
        <v>246.30186582898358</v>
      </c>
      <c r="BD43" s="352">
        <v>289.83428862666443</v>
      </c>
      <c r="BE43" s="352">
        <v>292.93669225115656</v>
      </c>
      <c r="BF43" s="352">
        <v>313.53380342506603</v>
      </c>
      <c r="BG43" s="352">
        <v>347.86232204824842</v>
      </c>
      <c r="BH43" s="352">
        <v>358.96920007487245</v>
      </c>
      <c r="BI43" s="352">
        <v>375.78107072084879</v>
      </c>
      <c r="BJ43" s="352">
        <v>462.19749869208471</v>
      </c>
    </row>
    <row r="44" spans="1:62">
      <c r="A44" s="62" t="s">
        <v>336</v>
      </c>
      <c r="B44" s="333">
        <v>165</v>
      </c>
      <c r="C44" s="45">
        <f t="shared" si="27"/>
        <v>238</v>
      </c>
      <c r="D44" s="45">
        <f t="shared" si="28"/>
        <v>268</v>
      </c>
      <c r="E44" s="45">
        <f t="shared" si="29"/>
        <v>316</v>
      </c>
      <c r="F44" s="45">
        <f t="shared" si="30"/>
        <v>318</v>
      </c>
      <c r="G44" s="45">
        <f t="shared" si="31"/>
        <v>341</v>
      </c>
      <c r="H44" s="45">
        <f t="shared" si="32"/>
        <v>378</v>
      </c>
      <c r="I44" s="45">
        <f t="shared" si="33"/>
        <v>523</v>
      </c>
      <c r="J44" s="113">
        <f t="shared" si="177"/>
        <v>238</v>
      </c>
      <c r="K44" s="113">
        <f t="shared" si="177"/>
        <v>268</v>
      </c>
      <c r="L44" s="113">
        <f t="shared" si="177"/>
        <v>316</v>
      </c>
      <c r="M44" s="234">
        <f t="shared" si="177"/>
        <v>318</v>
      </c>
      <c r="N44" s="113">
        <f t="shared" si="177"/>
        <v>341</v>
      </c>
      <c r="O44" s="113">
        <f t="shared" si="177"/>
        <v>378</v>
      </c>
      <c r="P44" s="237">
        <f t="shared" si="177"/>
        <v>523</v>
      </c>
      <c r="Q44" s="281">
        <f t="shared" si="34"/>
        <v>114.23999999999998</v>
      </c>
      <c r="R44" s="282">
        <f t="shared" si="35"/>
        <v>114.23999999999998</v>
      </c>
      <c r="S44" s="236"/>
      <c r="T44" s="236">
        <v>100.65</v>
      </c>
      <c r="U44" s="236">
        <v>209.68</v>
      </c>
      <c r="V44" s="236">
        <v>236.5</v>
      </c>
      <c r="W44" s="236">
        <v>279.17</v>
      </c>
      <c r="X44" s="236">
        <v>280.74</v>
      </c>
      <c r="Y44" s="236">
        <v>300.54000000000002</v>
      </c>
      <c r="Z44" s="236">
        <v>334.32</v>
      </c>
      <c r="AA44" s="236">
        <v>463.32</v>
      </c>
      <c r="AC44">
        <f t="shared" si="36"/>
        <v>11.9</v>
      </c>
      <c r="AD44">
        <f t="shared" si="18"/>
        <v>13.4</v>
      </c>
      <c r="AE44">
        <f t="shared" si="19"/>
        <v>15.8</v>
      </c>
      <c r="AF44">
        <f t="shared" si="20"/>
        <v>15.9</v>
      </c>
      <c r="AG44">
        <f t="shared" si="21"/>
        <v>17.05</v>
      </c>
      <c r="AH44">
        <f t="shared" si="22"/>
        <v>18.899999999999999</v>
      </c>
      <c r="AI44">
        <f t="shared" si="23"/>
        <v>26.15</v>
      </c>
      <c r="AJ44">
        <f t="shared" si="24"/>
        <v>155</v>
      </c>
      <c r="AL44" s="294">
        <v>100.8</v>
      </c>
      <c r="AM44" t="str">
        <f t="shared" si="25"/>
        <v>VARGAS LITORAL</v>
      </c>
      <c r="AN44">
        <f t="shared" si="37"/>
        <v>451</v>
      </c>
      <c r="AO44" s="352">
        <f t="shared" si="38"/>
        <v>392</v>
      </c>
      <c r="AP44" s="352">
        <f t="shared" si="39"/>
        <v>414</v>
      </c>
      <c r="AQ44" s="352">
        <f t="shared" si="40"/>
        <v>143</v>
      </c>
      <c r="AR44" s="282">
        <f t="shared" si="41"/>
        <v>451</v>
      </c>
      <c r="AS44" s="282">
        <f t="shared" si="42"/>
        <v>392</v>
      </c>
      <c r="AT44" s="282">
        <f t="shared" si="43"/>
        <v>414</v>
      </c>
      <c r="AU44" s="282">
        <f t="shared" si="44"/>
        <v>143</v>
      </c>
      <c r="AY44" t="s">
        <v>336</v>
      </c>
      <c r="AZ44">
        <v>165</v>
      </c>
      <c r="BA44" s="352">
        <v>142.72207402059078</v>
      </c>
      <c r="BB44" s="352">
        <v>237.8701233676513</v>
      </c>
      <c r="BC44" s="352">
        <v>268.45342494349217</v>
      </c>
      <c r="BD44" s="352">
        <v>316.02744961702246</v>
      </c>
      <c r="BE44" s="352">
        <v>317.9855109327649</v>
      </c>
      <c r="BF44" s="352">
        <v>340.61793163972322</v>
      </c>
      <c r="BG44" s="352">
        <v>377.96142580620449</v>
      </c>
      <c r="BH44" s="352">
        <v>392.36006225085248</v>
      </c>
      <c r="BI44" s="352">
        <v>413.53042538120121</v>
      </c>
      <c r="BJ44" s="352">
        <v>522.7559128619007</v>
      </c>
    </row>
    <row r="45" spans="1:62">
      <c r="A45" s="62" t="s">
        <v>333</v>
      </c>
      <c r="B45" s="346">
        <v>110</v>
      </c>
      <c r="C45" s="45">
        <f t="shared" si="27"/>
        <v>182</v>
      </c>
      <c r="D45" s="45">
        <f t="shared" si="28"/>
        <v>208</v>
      </c>
      <c r="E45" s="45">
        <f t="shared" si="29"/>
        <v>243</v>
      </c>
      <c r="F45" s="45">
        <f t="shared" si="30"/>
        <v>254</v>
      </c>
      <c r="G45" s="45">
        <f t="shared" si="31"/>
        <v>263</v>
      </c>
      <c r="H45" s="45">
        <f t="shared" si="32"/>
        <v>291</v>
      </c>
      <c r="I45" s="45">
        <f t="shared" si="33"/>
        <v>392</v>
      </c>
      <c r="J45" s="113">
        <f t="shared" ref="J45" si="211">C45*$M$1</f>
        <v>182</v>
      </c>
      <c r="K45" s="113">
        <f t="shared" ref="K45" si="212">D45*$M$1</f>
        <v>208</v>
      </c>
      <c r="L45" s="113">
        <f t="shared" ref="L45" si="213">E45*$M$1</f>
        <v>243</v>
      </c>
      <c r="M45" s="234">
        <f t="shared" ref="M45" si="214">F45*$M$1</f>
        <v>254</v>
      </c>
      <c r="N45" s="113">
        <f t="shared" ref="N45" si="215">G45*$M$1</f>
        <v>263</v>
      </c>
      <c r="O45" s="113">
        <f t="shared" ref="O45" si="216">H45*$M$1</f>
        <v>291</v>
      </c>
      <c r="P45" s="237">
        <f t="shared" ref="P45" si="217">I45*$M$1</f>
        <v>392</v>
      </c>
      <c r="Q45" s="45">
        <f t="shared" ref="Q45" si="218">($B$45*Q39)/$B$39</f>
        <v>87.272727272727266</v>
      </c>
      <c r="R45" s="282">
        <f t="shared" si="35"/>
        <v>87.272727272727266</v>
      </c>
      <c r="S45" s="236"/>
      <c r="T45" s="236"/>
      <c r="U45" s="236"/>
      <c r="V45" s="236"/>
      <c r="W45" s="236"/>
      <c r="X45" s="236"/>
      <c r="Y45" s="236"/>
      <c r="Z45" s="236"/>
      <c r="AA45" s="236"/>
      <c r="AL45" s="294"/>
      <c r="AM45" t="str">
        <f t="shared" si="25"/>
        <v>CHARALLAVE</v>
      </c>
      <c r="AN45">
        <f t="shared" ref="AN45" si="219">ROUND(H45+((20-10)/(30-10)*(I45-H45)),0)</f>
        <v>342</v>
      </c>
      <c r="AO45" s="352">
        <f t="shared" si="38"/>
        <v>301</v>
      </c>
      <c r="AP45" s="352">
        <f t="shared" si="39"/>
        <v>317</v>
      </c>
      <c r="AQ45" s="352">
        <f t="shared" si="40"/>
        <v>109</v>
      </c>
      <c r="AR45" s="282"/>
      <c r="AS45" s="282"/>
      <c r="AT45" s="282"/>
      <c r="AU45" s="282"/>
      <c r="AY45" t="s">
        <v>333</v>
      </c>
      <c r="AZ45">
        <v>110</v>
      </c>
      <c r="BA45" s="352">
        <v>109.13616664243025</v>
      </c>
      <c r="BB45" s="352">
        <v>182.23107602632138</v>
      </c>
      <c r="BC45" s="352">
        <v>207.54094769664383</v>
      </c>
      <c r="BD45" s="352">
        <v>242.9747680350952</v>
      </c>
      <c r="BE45" s="352">
        <v>253.92871565359451</v>
      </c>
      <c r="BF45" s="352">
        <v>263.03372936228914</v>
      </c>
      <c r="BG45" s="352">
        <v>291.36043867822798</v>
      </c>
      <c r="BH45" s="352">
        <v>301.40005218580109</v>
      </c>
      <c r="BI45" s="352">
        <v>316.79135388127605</v>
      </c>
      <c r="BJ45" s="352">
        <v>391.86479493490356</v>
      </c>
    </row>
    <row r="46" spans="1:62">
      <c r="A46" s="42" t="s">
        <v>70</v>
      </c>
      <c r="B46" s="335"/>
      <c r="C46" s="45">
        <f t="shared" si="27"/>
        <v>0</v>
      </c>
      <c r="D46" s="45">
        <f t="shared" si="28"/>
        <v>0</v>
      </c>
      <c r="E46" s="45">
        <f t="shared" si="29"/>
        <v>0</v>
      </c>
      <c r="F46" s="45">
        <f t="shared" si="30"/>
        <v>0</v>
      </c>
      <c r="G46" s="45">
        <f t="shared" si="31"/>
        <v>0</v>
      </c>
      <c r="H46" s="45">
        <f t="shared" si="32"/>
        <v>0</v>
      </c>
      <c r="I46" s="45">
        <f t="shared" si="33"/>
        <v>0</v>
      </c>
      <c r="J46" s="243"/>
      <c r="K46" s="243"/>
      <c r="L46" s="243"/>
      <c r="M46" s="244"/>
      <c r="N46" s="243"/>
      <c r="O46" s="243"/>
      <c r="P46" s="245"/>
      <c r="Q46" s="245"/>
      <c r="R46" s="245"/>
      <c r="S46" s="236"/>
      <c r="T46" s="245"/>
      <c r="U46" s="245"/>
      <c r="V46" s="245"/>
      <c r="W46" s="245"/>
      <c r="X46" s="245"/>
      <c r="Y46" s="245"/>
      <c r="Z46" s="245"/>
      <c r="AA46" s="245"/>
      <c r="AC46">
        <f t="shared" si="36"/>
        <v>0</v>
      </c>
      <c r="AD46">
        <f t="shared" si="18"/>
        <v>0</v>
      </c>
      <c r="AE46">
        <f t="shared" si="19"/>
        <v>0</v>
      </c>
      <c r="AF46">
        <f t="shared" si="20"/>
        <v>0</v>
      </c>
      <c r="AG46">
        <f t="shared" si="21"/>
        <v>0</v>
      </c>
      <c r="AH46">
        <f t="shared" si="22"/>
        <v>0</v>
      </c>
      <c r="AI46">
        <f t="shared" si="23"/>
        <v>0</v>
      </c>
      <c r="AJ46">
        <f t="shared" si="24"/>
        <v>0</v>
      </c>
      <c r="AL46" s="294"/>
      <c r="AM46" t="str">
        <f t="shared" si="25"/>
        <v>Región Llanos</v>
      </c>
      <c r="AN46">
        <f t="shared" si="37"/>
        <v>0</v>
      </c>
      <c r="AO46" s="352">
        <f t="shared" si="38"/>
        <v>0</v>
      </c>
      <c r="AP46" s="352">
        <f t="shared" si="39"/>
        <v>0</v>
      </c>
      <c r="AQ46" s="352">
        <f t="shared" si="40"/>
        <v>0</v>
      </c>
      <c r="AR46" s="282">
        <f t="shared" si="41"/>
        <v>0</v>
      </c>
      <c r="AS46" s="282">
        <f t="shared" si="42"/>
        <v>0</v>
      </c>
      <c r="AT46" s="282">
        <f t="shared" si="43"/>
        <v>0</v>
      </c>
      <c r="AU46" s="282">
        <f t="shared" si="44"/>
        <v>0</v>
      </c>
    </row>
    <row r="47" spans="1:62">
      <c r="A47" s="62" t="s">
        <v>51</v>
      </c>
      <c r="B47" s="333">
        <v>150</v>
      </c>
      <c r="C47" s="45">
        <f t="shared" si="27"/>
        <v>221</v>
      </c>
      <c r="D47" s="45">
        <f t="shared" si="28"/>
        <v>248</v>
      </c>
      <c r="E47" s="45">
        <f t="shared" si="29"/>
        <v>293</v>
      </c>
      <c r="F47" s="45">
        <f t="shared" si="30"/>
        <v>290</v>
      </c>
      <c r="G47" s="45">
        <f t="shared" si="31"/>
        <v>310</v>
      </c>
      <c r="H47" s="45">
        <f t="shared" si="32"/>
        <v>345</v>
      </c>
      <c r="I47" s="45">
        <f t="shared" si="33"/>
        <v>458</v>
      </c>
      <c r="J47" s="113">
        <f t="shared" ref="J47:J64" si="220">C47*$M$1</f>
        <v>221</v>
      </c>
      <c r="K47" s="113">
        <f t="shared" ref="K47:K64" si="221">D47*$M$1</f>
        <v>248</v>
      </c>
      <c r="L47" s="113">
        <f t="shared" ref="L47:L64" si="222">E47*$M$1</f>
        <v>293</v>
      </c>
      <c r="M47" s="234">
        <f t="shared" ref="M47:M64" si="223">F47*$M$1</f>
        <v>290</v>
      </c>
      <c r="N47" s="113">
        <f t="shared" ref="N47:N64" si="224">G47*$M$1</f>
        <v>310</v>
      </c>
      <c r="O47" s="113">
        <f t="shared" ref="O47:O64" si="225">H47*$M$1</f>
        <v>345</v>
      </c>
      <c r="P47" s="237">
        <f t="shared" ref="P47:P64" si="226">I47*$M$1</f>
        <v>458</v>
      </c>
      <c r="Q47" s="281">
        <f t="shared" si="34"/>
        <v>106.08</v>
      </c>
      <c r="R47" s="282">
        <f t="shared" si="35"/>
        <v>106.08</v>
      </c>
      <c r="S47" s="236"/>
      <c r="T47" s="236">
        <v>93.39</v>
      </c>
      <c r="U47" s="236">
        <v>194.56</v>
      </c>
      <c r="V47" s="236">
        <v>219.18</v>
      </c>
      <c r="W47" s="236">
        <v>259.02999999999997</v>
      </c>
      <c r="X47" s="236">
        <v>256.16000000000003</v>
      </c>
      <c r="Y47" s="236">
        <v>273.82</v>
      </c>
      <c r="Z47" s="236">
        <v>304.74</v>
      </c>
      <c r="AA47" s="236">
        <v>406.32</v>
      </c>
      <c r="AC47">
        <f t="shared" si="36"/>
        <v>11.05</v>
      </c>
      <c r="AD47">
        <f t="shared" si="18"/>
        <v>12.4</v>
      </c>
      <c r="AE47">
        <f t="shared" si="19"/>
        <v>14.65</v>
      </c>
      <c r="AF47">
        <f t="shared" si="20"/>
        <v>14.5</v>
      </c>
      <c r="AG47">
        <f t="shared" si="21"/>
        <v>15.5</v>
      </c>
      <c r="AH47">
        <f t="shared" si="22"/>
        <v>17.25</v>
      </c>
      <c r="AI47">
        <f t="shared" si="23"/>
        <v>22.9</v>
      </c>
      <c r="AJ47">
        <f t="shared" si="24"/>
        <v>144</v>
      </c>
      <c r="AL47" s="294">
        <v>93.6</v>
      </c>
      <c r="AM47" t="str">
        <f t="shared" si="25"/>
        <v>SAN CARLOS</v>
      </c>
      <c r="AN47">
        <f t="shared" si="37"/>
        <v>402</v>
      </c>
      <c r="AO47" s="352">
        <f t="shared" si="38"/>
        <v>356</v>
      </c>
      <c r="AP47" s="352">
        <f t="shared" si="39"/>
        <v>373</v>
      </c>
      <c r="AQ47" s="352">
        <f t="shared" si="40"/>
        <v>133</v>
      </c>
      <c r="AR47" s="282">
        <f t="shared" si="41"/>
        <v>402</v>
      </c>
      <c r="AS47" s="282">
        <f t="shared" si="42"/>
        <v>356</v>
      </c>
      <c r="AT47" s="282">
        <f t="shared" si="43"/>
        <v>373</v>
      </c>
      <c r="AU47" s="282">
        <f t="shared" si="44"/>
        <v>133</v>
      </c>
      <c r="AY47" t="s">
        <v>51</v>
      </c>
      <c r="AZ47">
        <v>150</v>
      </c>
      <c r="BA47" s="352">
        <v>132.54763424207894</v>
      </c>
      <c r="BB47" s="352">
        <v>220.91272373679826</v>
      </c>
      <c r="BC47" s="352">
        <v>248.10198204286573</v>
      </c>
      <c r="BD47" s="352">
        <v>293.41741255297819</v>
      </c>
      <c r="BE47" s="352">
        <v>289.74418189306527</v>
      </c>
      <c r="BF47" s="352">
        <v>310.11681968242146</v>
      </c>
      <c r="BG47" s="352">
        <v>345.20302920853482</v>
      </c>
      <c r="BH47" s="352">
        <v>356.23835740202907</v>
      </c>
      <c r="BI47" s="352">
        <v>372.91870642382997</v>
      </c>
      <c r="BJ47" s="352">
        <v>458.4741346123842</v>
      </c>
    </row>
    <row r="48" spans="1:62">
      <c r="A48" s="62" t="s">
        <v>338</v>
      </c>
      <c r="B48" s="333">
        <v>128</v>
      </c>
      <c r="C48" s="45">
        <f t="shared" si="27"/>
        <v>189</v>
      </c>
      <c r="D48" s="45">
        <f t="shared" si="28"/>
        <v>212</v>
      </c>
      <c r="E48" s="45">
        <f t="shared" si="29"/>
        <v>250</v>
      </c>
      <c r="F48" s="45">
        <f t="shared" si="30"/>
        <v>247</v>
      </c>
      <c r="G48" s="45">
        <f t="shared" si="31"/>
        <v>265</v>
      </c>
      <c r="H48" s="45">
        <f t="shared" si="32"/>
        <v>295</v>
      </c>
      <c r="I48" s="45">
        <f t="shared" si="33"/>
        <v>391</v>
      </c>
      <c r="J48" s="113">
        <f t="shared" ref="J48" si="227">C48*$M$1</f>
        <v>189</v>
      </c>
      <c r="K48" s="113">
        <f t="shared" ref="K48" si="228">D48*$M$1</f>
        <v>212</v>
      </c>
      <c r="L48" s="113">
        <f t="shared" ref="L48" si="229">E48*$M$1</f>
        <v>250</v>
      </c>
      <c r="M48" s="234">
        <f t="shared" ref="M48" si="230">F48*$M$1</f>
        <v>247</v>
      </c>
      <c r="N48" s="113">
        <f t="shared" ref="N48" si="231">G48*$M$1</f>
        <v>265</v>
      </c>
      <c r="O48" s="113">
        <f t="shared" ref="O48" si="232">H48*$M$1</f>
        <v>295</v>
      </c>
      <c r="P48" s="237">
        <f t="shared" ref="P48" si="233">I48*$M$1</f>
        <v>391</v>
      </c>
      <c r="Q48" s="45">
        <f t="shared" ref="Q48" si="234">($B$48*Q47)/$B$47</f>
        <v>90.521599999999992</v>
      </c>
      <c r="R48" s="282">
        <f t="shared" si="35"/>
        <v>90.521599999999992</v>
      </c>
      <c r="S48" s="236"/>
      <c r="T48" s="236"/>
      <c r="U48" s="236"/>
      <c r="V48" s="236"/>
      <c r="W48" s="236"/>
      <c r="X48" s="236"/>
      <c r="Y48" s="236"/>
      <c r="Z48" s="236"/>
      <c r="AA48" s="236"/>
      <c r="AL48" s="294"/>
      <c r="AM48" t="str">
        <f t="shared" si="25"/>
        <v>TINACO/TINAQUILLO</v>
      </c>
      <c r="AN48" s="45">
        <f t="shared" ref="AN48" si="235">($B$48*AN47)/$B$47</f>
        <v>343.04</v>
      </c>
      <c r="AO48" s="352">
        <f t="shared" si="38"/>
        <v>304</v>
      </c>
      <c r="AP48" s="352">
        <f t="shared" si="39"/>
        <v>318</v>
      </c>
      <c r="AQ48" s="352">
        <f t="shared" si="40"/>
        <v>113</v>
      </c>
      <c r="AR48" s="282">
        <f t="shared" ref="AR48" si="236">AN48*$M$1</f>
        <v>343.04</v>
      </c>
      <c r="AS48" s="282">
        <f t="shared" ref="AS48" si="237">AO48*$M$1</f>
        <v>304</v>
      </c>
      <c r="AT48" s="282">
        <f t="shared" ref="AT48" si="238">AP48*$M$1</f>
        <v>318</v>
      </c>
      <c r="AU48" s="282">
        <f t="shared" ref="AU48" si="239">AQ48*$M$1</f>
        <v>113</v>
      </c>
      <c r="AY48" t="s">
        <v>338</v>
      </c>
      <c r="AZ48">
        <v>128</v>
      </c>
      <c r="BA48" s="352">
        <v>113.10731455324071</v>
      </c>
      <c r="BB48" s="352">
        <v>188.51219092206784</v>
      </c>
      <c r="BC48" s="352">
        <v>211.71369134324542</v>
      </c>
      <c r="BD48" s="352">
        <v>250.38285871187472</v>
      </c>
      <c r="BE48" s="352">
        <v>247.24836854874906</v>
      </c>
      <c r="BF48" s="352">
        <v>264.63301946233298</v>
      </c>
      <c r="BG48" s="352">
        <v>294.573251591283</v>
      </c>
      <c r="BH48" s="352">
        <v>303.99006498306483</v>
      </c>
      <c r="BI48" s="352">
        <v>318.22396281500158</v>
      </c>
      <c r="BJ48" s="352">
        <v>391.23126153590113</v>
      </c>
    </row>
    <row r="49" spans="1:62">
      <c r="A49" s="62" t="s">
        <v>48</v>
      </c>
      <c r="B49" s="333">
        <v>190</v>
      </c>
      <c r="C49" s="45">
        <f t="shared" si="27"/>
        <v>268</v>
      </c>
      <c r="D49" s="45">
        <f t="shared" si="28"/>
        <v>304</v>
      </c>
      <c r="E49" s="45">
        <f t="shared" si="29"/>
        <v>359</v>
      </c>
      <c r="F49" s="45">
        <f t="shared" si="30"/>
        <v>363</v>
      </c>
      <c r="G49" s="45">
        <f t="shared" si="31"/>
        <v>389</v>
      </c>
      <c r="H49" s="45">
        <f t="shared" si="32"/>
        <v>432</v>
      </c>
      <c r="I49" s="45">
        <f t="shared" si="33"/>
        <v>589</v>
      </c>
      <c r="J49" s="113">
        <f t="shared" si="220"/>
        <v>268</v>
      </c>
      <c r="K49" s="113">
        <f t="shared" si="221"/>
        <v>304</v>
      </c>
      <c r="L49" s="113">
        <f t="shared" si="222"/>
        <v>359</v>
      </c>
      <c r="M49" s="234">
        <f t="shared" si="223"/>
        <v>363</v>
      </c>
      <c r="N49" s="113">
        <f t="shared" si="224"/>
        <v>389</v>
      </c>
      <c r="O49" s="113">
        <f t="shared" si="225"/>
        <v>432</v>
      </c>
      <c r="P49" s="237">
        <f t="shared" si="226"/>
        <v>589</v>
      </c>
      <c r="Q49" s="281">
        <f t="shared" si="34"/>
        <v>128.63999999999999</v>
      </c>
      <c r="R49" s="282">
        <f t="shared" si="35"/>
        <v>128.63999999999999</v>
      </c>
      <c r="S49" s="236"/>
      <c r="T49" s="236">
        <v>113.4</v>
      </c>
      <c r="U49" s="236">
        <v>236.26</v>
      </c>
      <c r="V49" s="236">
        <v>267.83999999999997</v>
      </c>
      <c r="W49" s="236">
        <v>315.85000000000002</v>
      </c>
      <c r="X49" s="236">
        <v>319.94</v>
      </c>
      <c r="Y49" s="236">
        <v>343.14</v>
      </c>
      <c r="Z49" s="236">
        <v>381</v>
      </c>
      <c r="AA49" s="236">
        <v>521.20000000000005</v>
      </c>
      <c r="AC49">
        <f t="shared" si="36"/>
        <v>13.4</v>
      </c>
      <c r="AD49">
        <f t="shared" si="18"/>
        <v>15.2</v>
      </c>
      <c r="AE49">
        <f t="shared" si="19"/>
        <v>17.95</v>
      </c>
      <c r="AF49">
        <f t="shared" si="20"/>
        <v>18.149999999999999</v>
      </c>
      <c r="AG49">
        <f t="shared" si="21"/>
        <v>19.45</v>
      </c>
      <c r="AH49">
        <f t="shared" si="22"/>
        <v>21.6</v>
      </c>
      <c r="AI49">
        <f t="shared" si="23"/>
        <v>29.45</v>
      </c>
      <c r="AJ49">
        <f t="shared" si="24"/>
        <v>175</v>
      </c>
      <c r="AL49" s="294">
        <v>113.28</v>
      </c>
      <c r="AM49" t="str">
        <f t="shared" si="25"/>
        <v>CALABOZO</v>
      </c>
      <c r="AN49">
        <f t="shared" si="37"/>
        <v>511</v>
      </c>
      <c r="AO49" s="352">
        <f t="shared" si="38"/>
        <v>447</v>
      </c>
      <c r="AP49" s="352">
        <f t="shared" si="39"/>
        <v>471</v>
      </c>
      <c r="AQ49" s="352">
        <f t="shared" si="40"/>
        <v>161</v>
      </c>
      <c r="AR49" s="282">
        <f t="shared" si="41"/>
        <v>511</v>
      </c>
      <c r="AS49" s="282">
        <f t="shared" si="42"/>
        <v>447</v>
      </c>
      <c r="AT49" s="282">
        <f t="shared" si="43"/>
        <v>471</v>
      </c>
      <c r="AU49" s="282">
        <f t="shared" si="44"/>
        <v>161</v>
      </c>
      <c r="AY49" t="s">
        <v>48</v>
      </c>
      <c r="AZ49">
        <v>190</v>
      </c>
      <c r="BA49" s="352">
        <v>161.11867110906147</v>
      </c>
      <c r="BB49" s="352">
        <v>267.77469282914439</v>
      </c>
      <c r="BC49" s="352">
        <v>304.08312575513008</v>
      </c>
      <c r="BD49" s="352">
        <v>358.54577514410857</v>
      </c>
      <c r="BE49" s="352">
        <v>362.72334692099781</v>
      </c>
      <c r="BF49" s="352">
        <v>388.79408748094454</v>
      </c>
      <c r="BG49" s="352">
        <v>431.86748492781305</v>
      </c>
      <c r="BH49" s="352">
        <v>447.37253037336797</v>
      </c>
      <c r="BI49" s="352">
        <v>470.79157220445893</v>
      </c>
      <c r="BJ49" s="352">
        <v>589.19190271128866</v>
      </c>
    </row>
    <row r="50" spans="1:62">
      <c r="A50" s="62" t="s">
        <v>71</v>
      </c>
      <c r="B50" s="333">
        <v>202</v>
      </c>
      <c r="C50" s="45">
        <f t="shared" si="27"/>
        <v>279</v>
      </c>
      <c r="D50" s="45">
        <f t="shared" si="28"/>
        <v>319</v>
      </c>
      <c r="E50" s="45">
        <f t="shared" si="29"/>
        <v>374</v>
      </c>
      <c r="F50" s="45">
        <f t="shared" si="30"/>
        <v>369</v>
      </c>
      <c r="G50" s="45">
        <f t="shared" si="31"/>
        <v>395</v>
      </c>
      <c r="H50" s="45">
        <f t="shared" si="32"/>
        <v>440</v>
      </c>
      <c r="I50" s="45">
        <f t="shared" si="33"/>
        <v>593</v>
      </c>
      <c r="J50" s="113">
        <f t="shared" si="220"/>
        <v>279</v>
      </c>
      <c r="K50" s="113">
        <f t="shared" si="221"/>
        <v>319</v>
      </c>
      <c r="L50" s="113">
        <f t="shared" si="222"/>
        <v>374</v>
      </c>
      <c r="M50" s="234">
        <f t="shared" si="223"/>
        <v>369</v>
      </c>
      <c r="N50" s="113">
        <f t="shared" si="224"/>
        <v>395</v>
      </c>
      <c r="O50" s="113">
        <f t="shared" si="225"/>
        <v>440</v>
      </c>
      <c r="P50" s="237">
        <f t="shared" si="226"/>
        <v>593</v>
      </c>
      <c r="Q50" s="281">
        <f t="shared" si="34"/>
        <v>133.92000000000002</v>
      </c>
      <c r="R50" s="282">
        <f t="shared" si="35"/>
        <v>133.92000000000002</v>
      </c>
      <c r="S50" s="236"/>
      <c r="T50" s="236">
        <v>117.82</v>
      </c>
      <c r="U50" s="236">
        <v>245.45</v>
      </c>
      <c r="V50" s="236">
        <v>279.61</v>
      </c>
      <c r="W50" s="236">
        <v>327.69</v>
      </c>
      <c r="X50" s="236">
        <v>323.64999999999998</v>
      </c>
      <c r="Y50" s="236">
        <v>347.44</v>
      </c>
      <c r="Z50" s="236">
        <v>385.52</v>
      </c>
      <c r="AA50" s="236">
        <v>521.66999999999996</v>
      </c>
      <c r="AC50">
        <f t="shared" si="36"/>
        <v>13.95</v>
      </c>
      <c r="AD50">
        <f t="shared" si="18"/>
        <v>15.95</v>
      </c>
      <c r="AE50">
        <f t="shared" si="19"/>
        <v>18.7</v>
      </c>
      <c r="AF50">
        <f t="shared" si="20"/>
        <v>18.45</v>
      </c>
      <c r="AG50">
        <f t="shared" si="21"/>
        <v>19.75</v>
      </c>
      <c r="AH50">
        <f t="shared" si="22"/>
        <v>22</v>
      </c>
      <c r="AI50">
        <f t="shared" si="23"/>
        <v>29.65</v>
      </c>
      <c r="AJ50">
        <f t="shared" si="24"/>
        <v>182</v>
      </c>
      <c r="AL50" s="294">
        <v>117.6</v>
      </c>
      <c r="AM50" t="str">
        <f t="shared" si="25"/>
        <v>ALTAGRACIA DE ORITUCO</v>
      </c>
      <c r="AN50">
        <f t="shared" si="37"/>
        <v>517</v>
      </c>
      <c r="AO50" s="352">
        <f t="shared" si="38"/>
        <v>455</v>
      </c>
      <c r="AP50" s="352">
        <f t="shared" si="39"/>
        <v>478</v>
      </c>
      <c r="AQ50" s="352">
        <f t="shared" si="40"/>
        <v>168</v>
      </c>
      <c r="AR50" s="282">
        <f t="shared" si="41"/>
        <v>517</v>
      </c>
      <c r="AS50" s="282">
        <f t="shared" si="42"/>
        <v>455</v>
      </c>
      <c r="AT50" s="282">
        <f t="shared" si="43"/>
        <v>478</v>
      </c>
      <c r="AU50" s="282">
        <f t="shared" si="44"/>
        <v>168</v>
      </c>
      <c r="AY50" t="s">
        <v>71</v>
      </c>
      <c r="AZ50">
        <v>202</v>
      </c>
      <c r="BA50" s="352">
        <v>167.69716532606117</v>
      </c>
      <c r="BB50" s="352">
        <v>279.4952755434353</v>
      </c>
      <c r="BC50" s="352">
        <v>319.4231720496403</v>
      </c>
      <c r="BD50" s="352">
        <v>374.18143011529293</v>
      </c>
      <c r="BE50" s="352">
        <v>369.22691417815895</v>
      </c>
      <c r="BF50" s="352">
        <v>395.43746672784306</v>
      </c>
      <c r="BG50" s="352">
        <v>439.88144713817701</v>
      </c>
      <c r="BH50" s="352">
        <v>455.43135487676011</v>
      </c>
      <c r="BI50" s="352">
        <v>477.79847939250334</v>
      </c>
      <c r="BJ50" s="352">
        <v>593.36246107318664</v>
      </c>
    </row>
    <row r="51" spans="1:62">
      <c r="A51" s="62" t="s">
        <v>72</v>
      </c>
      <c r="B51" s="333">
        <v>228</v>
      </c>
      <c r="C51" s="45">
        <f t="shared" si="27"/>
        <v>306</v>
      </c>
      <c r="D51" s="45">
        <f t="shared" si="28"/>
        <v>348</v>
      </c>
      <c r="E51" s="45">
        <f t="shared" si="29"/>
        <v>409</v>
      </c>
      <c r="F51" s="45">
        <f t="shared" si="30"/>
        <v>414</v>
      </c>
      <c r="G51" s="45">
        <f t="shared" si="31"/>
        <v>443</v>
      </c>
      <c r="H51" s="45">
        <f t="shared" si="32"/>
        <v>491</v>
      </c>
      <c r="I51" s="45">
        <f t="shared" si="33"/>
        <v>659</v>
      </c>
      <c r="J51" s="113">
        <f t="shared" si="220"/>
        <v>306</v>
      </c>
      <c r="K51" s="113">
        <f t="shared" si="221"/>
        <v>348</v>
      </c>
      <c r="L51" s="113">
        <f t="shared" si="222"/>
        <v>409</v>
      </c>
      <c r="M51" s="234">
        <f t="shared" si="223"/>
        <v>414</v>
      </c>
      <c r="N51" s="113">
        <f t="shared" si="224"/>
        <v>443</v>
      </c>
      <c r="O51" s="113">
        <f t="shared" si="225"/>
        <v>491</v>
      </c>
      <c r="P51" s="237">
        <f t="shared" si="226"/>
        <v>659</v>
      </c>
      <c r="Q51" s="281">
        <f t="shared" si="34"/>
        <v>146.88</v>
      </c>
      <c r="R51" s="282">
        <f t="shared" si="35"/>
        <v>146.88</v>
      </c>
      <c r="S51" s="236"/>
      <c r="T51" s="236">
        <v>128.52000000000001</v>
      </c>
      <c r="U51" s="236">
        <v>267.75</v>
      </c>
      <c r="V51" s="236">
        <v>304.32</v>
      </c>
      <c r="W51" s="236">
        <v>357.87</v>
      </c>
      <c r="X51" s="236">
        <v>362.48</v>
      </c>
      <c r="Y51" s="236">
        <v>387.65</v>
      </c>
      <c r="Z51" s="236">
        <v>430.44</v>
      </c>
      <c r="AA51" s="236">
        <v>578.44000000000005</v>
      </c>
      <c r="AC51">
        <f t="shared" si="36"/>
        <v>15.3</v>
      </c>
      <c r="AD51">
        <f t="shared" si="18"/>
        <v>17.399999999999999</v>
      </c>
      <c r="AE51">
        <f t="shared" si="19"/>
        <v>20.45</v>
      </c>
      <c r="AF51">
        <f t="shared" si="20"/>
        <v>20.7</v>
      </c>
      <c r="AG51">
        <f t="shared" si="21"/>
        <v>22.15</v>
      </c>
      <c r="AH51">
        <f t="shared" si="22"/>
        <v>24.55</v>
      </c>
      <c r="AI51">
        <f t="shared" si="23"/>
        <v>32.950000000000003</v>
      </c>
      <c r="AJ51">
        <f t="shared" si="24"/>
        <v>200</v>
      </c>
      <c r="AL51" s="294">
        <v>128.63999999999999</v>
      </c>
      <c r="AM51" t="str">
        <f t="shared" si="25"/>
        <v>ACARIGUA</v>
      </c>
      <c r="AN51">
        <f t="shared" si="37"/>
        <v>575</v>
      </c>
      <c r="AO51" s="352">
        <f t="shared" si="38"/>
        <v>508</v>
      </c>
      <c r="AP51" s="352">
        <f t="shared" si="39"/>
        <v>533</v>
      </c>
      <c r="AQ51" s="352">
        <f t="shared" si="40"/>
        <v>184</v>
      </c>
      <c r="AR51" s="282">
        <f t="shared" si="41"/>
        <v>575</v>
      </c>
      <c r="AS51" s="282">
        <f t="shared" si="42"/>
        <v>508</v>
      </c>
      <c r="AT51" s="282">
        <f t="shared" si="43"/>
        <v>533</v>
      </c>
      <c r="AU51" s="282">
        <f t="shared" si="44"/>
        <v>184</v>
      </c>
      <c r="AY51" t="s">
        <v>72</v>
      </c>
      <c r="AZ51">
        <v>228</v>
      </c>
      <c r="BA51" s="352">
        <v>184.12072854730027</v>
      </c>
      <c r="BB51" s="352">
        <v>306.48667857563032</v>
      </c>
      <c r="BC51" s="352">
        <v>347.65653092161051</v>
      </c>
      <c r="BD51" s="352">
        <v>409.41130944058074</v>
      </c>
      <c r="BE51" s="352">
        <v>413.5246548407892</v>
      </c>
      <c r="BF51" s="352">
        <v>443.22532065808343</v>
      </c>
      <c r="BG51" s="352">
        <v>491.20331928602036</v>
      </c>
      <c r="BH51" s="352">
        <v>507.87375875736382</v>
      </c>
      <c r="BI51" s="352">
        <v>532.51713906385839</v>
      </c>
      <c r="BJ51" s="352">
        <v>658.54822367993461</v>
      </c>
    </row>
    <row r="52" spans="1:62" ht="16.5" customHeight="1">
      <c r="A52" s="62" t="s">
        <v>73</v>
      </c>
      <c r="B52" s="333">
        <v>264</v>
      </c>
      <c r="C52" s="45">
        <f t="shared" si="27"/>
        <v>331</v>
      </c>
      <c r="D52" s="45">
        <f t="shared" si="28"/>
        <v>376</v>
      </c>
      <c r="E52" s="45">
        <f t="shared" si="29"/>
        <v>442</v>
      </c>
      <c r="F52" s="45">
        <f t="shared" si="30"/>
        <v>446</v>
      </c>
      <c r="G52" s="45">
        <f t="shared" si="31"/>
        <v>477</v>
      </c>
      <c r="H52" s="45">
        <f t="shared" si="32"/>
        <v>530</v>
      </c>
      <c r="I52" s="45">
        <f t="shared" si="33"/>
        <v>707</v>
      </c>
      <c r="J52" s="113">
        <f t="shared" si="220"/>
        <v>331</v>
      </c>
      <c r="K52" s="113">
        <f t="shared" si="221"/>
        <v>376</v>
      </c>
      <c r="L52" s="113">
        <f t="shared" si="222"/>
        <v>442</v>
      </c>
      <c r="M52" s="234">
        <f t="shared" si="223"/>
        <v>446</v>
      </c>
      <c r="N52" s="113">
        <f t="shared" si="224"/>
        <v>477</v>
      </c>
      <c r="O52" s="113">
        <f t="shared" si="225"/>
        <v>530</v>
      </c>
      <c r="P52" s="237">
        <f t="shared" si="226"/>
        <v>707</v>
      </c>
      <c r="Q52" s="281">
        <f t="shared" si="34"/>
        <v>158.88</v>
      </c>
      <c r="R52" s="282">
        <f t="shared" si="35"/>
        <v>158.88</v>
      </c>
      <c r="S52" s="236"/>
      <c r="T52" s="236">
        <v>137.35</v>
      </c>
      <c r="U52" s="236">
        <v>286.16000000000003</v>
      </c>
      <c r="V52" s="236">
        <v>325.3</v>
      </c>
      <c r="W52" s="236">
        <v>381.99</v>
      </c>
      <c r="X52" s="236">
        <v>386.23</v>
      </c>
      <c r="Y52" s="236">
        <v>413.45</v>
      </c>
      <c r="Z52" s="236">
        <v>458.81</v>
      </c>
      <c r="AA52" s="236">
        <v>614.48</v>
      </c>
      <c r="AC52">
        <f t="shared" si="36"/>
        <v>16.55</v>
      </c>
      <c r="AD52">
        <f t="shared" si="18"/>
        <v>18.8</v>
      </c>
      <c r="AE52">
        <f t="shared" si="19"/>
        <v>22.1</v>
      </c>
      <c r="AF52">
        <f t="shared" si="20"/>
        <v>22.3</v>
      </c>
      <c r="AG52">
        <f t="shared" si="21"/>
        <v>23.85</v>
      </c>
      <c r="AH52">
        <f t="shared" si="22"/>
        <v>26.5</v>
      </c>
      <c r="AI52">
        <f t="shared" si="23"/>
        <v>35.35</v>
      </c>
      <c r="AJ52">
        <f t="shared" si="24"/>
        <v>216</v>
      </c>
      <c r="AL52" s="294">
        <v>137.28</v>
      </c>
      <c r="AM52" t="str">
        <f t="shared" si="25"/>
        <v>VALLE DE LA PASCUA</v>
      </c>
      <c r="AN52">
        <f t="shared" si="37"/>
        <v>619</v>
      </c>
      <c r="AO52" s="352">
        <f t="shared" si="38"/>
        <v>548</v>
      </c>
      <c r="AP52" s="352">
        <f t="shared" si="39"/>
        <v>574</v>
      </c>
      <c r="AQ52" s="352">
        <f t="shared" si="40"/>
        <v>199</v>
      </c>
      <c r="AR52" s="282">
        <f t="shared" si="41"/>
        <v>619</v>
      </c>
      <c r="AS52" s="282">
        <f t="shared" si="42"/>
        <v>548</v>
      </c>
      <c r="AT52" s="282">
        <f t="shared" si="43"/>
        <v>574</v>
      </c>
      <c r="AU52" s="282">
        <f t="shared" si="44"/>
        <v>199</v>
      </c>
      <c r="AY52" t="s">
        <v>73</v>
      </c>
      <c r="AZ52">
        <v>264</v>
      </c>
      <c r="BA52" s="352">
        <v>198.82512871520493</v>
      </c>
      <c r="BB52" s="352">
        <v>330.60457449156166</v>
      </c>
      <c r="BC52" s="352">
        <v>375.68701646768375</v>
      </c>
      <c r="BD52" s="352">
        <v>441.57673935586212</v>
      </c>
      <c r="BE52" s="352">
        <v>445.62167243720035</v>
      </c>
      <c r="BF52" s="352">
        <v>476.79210030197856</v>
      </c>
      <c r="BG52" s="352">
        <v>529.89727370123046</v>
      </c>
      <c r="BH52" s="352">
        <v>547.78564678240684</v>
      </c>
      <c r="BI52" s="352">
        <v>573.72758898700079</v>
      </c>
      <c r="BJ52" s="352">
        <v>706.69125943065148</v>
      </c>
    </row>
    <row r="53" spans="1:62">
      <c r="A53" s="62" t="s">
        <v>74</v>
      </c>
      <c r="B53" s="333">
        <v>271</v>
      </c>
      <c r="C53" s="45">
        <f t="shared" si="27"/>
        <v>339</v>
      </c>
      <c r="D53" s="45">
        <f t="shared" si="28"/>
        <v>382</v>
      </c>
      <c r="E53" s="45">
        <f t="shared" si="29"/>
        <v>451</v>
      </c>
      <c r="F53" s="45">
        <f t="shared" si="30"/>
        <v>454</v>
      </c>
      <c r="G53" s="45">
        <f t="shared" si="31"/>
        <v>488</v>
      </c>
      <c r="H53" s="45">
        <f t="shared" si="32"/>
        <v>541</v>
      </c>
      <c r="I53" s="45">
        <f t="shared" si="33"/>
        <v>726</v>
      </c>
      <c r="J53" s="113">
        <f t="shared" si="220"/>
        <v>339</v>
      </c>
      <c r="K53" s="113">
        <f t="shared" si="221"/>
        <v>382</v>
      </c>
      <c r="L53" s="113">
        <f t="shared" si="222"/>
        <v>451</v>
      </c>
      <c r="M53" s="234">
        <f t="shared" si="223"/>
        <v>454</v>
      </c>
      <c r="N53" s="113">
        <f t="shared" si="224"/>
        <v>488</v>
      </c>
      <c r="O53" s="113">
        <f t="shared" si="225"/>
        <v>541</v>
      </c>
      <c r="P53" s="237">
        <f t="shared" si="226"/>
        <v>726</v>
      </c>
      <c r="Q53" s="281">
        <f t="shared" si="34"/>
        <v>162.72</v>
      </c>
      <c r="R53" s="282">
        <f t="shared" si="35"/>
        <v>162.72</v>
      </c>
      <c r="S53" s="236"/>
      <c r="T53" s="236">
        <v>140.55000000000001</v>
      </c>
      <c r="U53" s="236">
        <v>292.82</v>
      </c>
      <c r="V53" s="236">
        <v>330.09</v>
      </c>
      <c r="W53" s="236">
        <v>389.98</v>
      </c>
      <c r="X53" s="236">
        <v>392.74</v>
      </c>
      <c r="Y53" s="236">
        <v>422.16</v>
      </c>
      <c r="Z53" s="236">
        <v>468.21</v>
      </c>
      <c r="AA53" s="236">
        <v>629.88</v>
      </c>
      <c r="AC53">
        <f t="shared" si="36"/>
        <v>16.95</v>
      </c>
      <c r="AD53">
        <f t="shared" si="18"/>
        <v>19.100000000000001</v>
      </c>
      <c r="AE53">
        <f t="shared" si="19"/>
        <v>22.55</v>
      </c>
      <c r="AF53">
        <f t="shared" si="20"/>
        <v>22.7</v>
      </c>
      <c r="AG53">
        <f t="shared" si="21"/>
        <v>24.4</v>
      </c>
      <c r="AH53">
        <f t="shared" si="22"/>
        <v>27.05</v>
      </c>
      <c r="AI53">
        <f t="shared" si="23"/>
        <v>36.299999999999997</v>
      </c>
      <c r="AJ53">
        <f t="shared" si="24"/>
        <v>221</v>
      </c>
      <c r="AL53" s="294">
        <v>140.63999999999999</v>
      </c>
      <c r="AM53" t="str">
        <f t="shared" si="25"/>
        <v>MERDECES DEL LLANO</v>
      </c>
      <c r="AN53">
        <f t="shared" si="37"/>
        <v>634</v>
      </c>
      <c r="AO53" s="352">
        <f t="shared" si="38"/>
        <v>559</v>
      </c>
      <c r="AP53" s="352">
        <f t="shared" si="39"/>
        <v>587</v>
      </c>
      <c r="AQ53" s="352">
        <f t="shared" si="40"/>
        <v>204</v>
      </c>
      <c r="AR53" s="282">
        <f t="shared" si="41"/>
        <v>634</v>
      </c>
      <c r="AS53" s="282">
        <f t="shared" si="42"/>
        <v>559</v>
      </c>
      <c r="AT53" s="282">
        <f t="shared" si="43"/>
        <v>587</v>
      </c>
      <c r="AU53" s="282">
        <f t="shared" si="44"/>
        <v>204</v>
      </c>
      <c r="AY53" t="s">
        <v>74</v>
      </c>
      <c r="AZ53">
        <v>271</v>
      </c>
      <c r="BA53" s="352">
        <v>203.5901632057747</v>
      </c>
      <c r="BB53" s="352">
        <v>338.93135124597723</v>
      </c>
      <c r="BC53" s="352">
        <v>381.7315560108276</v>
      </c>
      <c r="BD53" s="352">
        <v>451.13729346734169</v>
      </c>
      <c r="BE53" s="352">
        <v>454.01194376030082</v>
      </c>
      <c r="BF53" s="352">
        <v>487.5140973711118</v>
      </c>
      <c r="BG53" s="352">
        <v>540.65544447791547</v>
      </c>
      <c r="BH53" s="352">
        <v>558.53833586470091</v>
      </c>
      <c r="BI53" s="352">
        <v>586.78580527849954</v>
      </c>
      <c r="BJ53" s="352">
        <v>725.57746770015478</v>
      </c>
    </row>
    <row r="54" spans="1:62">
      <c r="A54" s="62" t="s">
        <v>75</v>
      </c>
      <c r="B54" s="333">
        <v>273</v>
      </c>
      <c r="C54" s="45">
        <f t="shared" si="27"/>
        <v>339</v>
      </c>
      <c r="D54" s="45">
        <f t="shared" si="28"/>
        <v>385</v>
      </c>
      <c r="E54" s="45">
        <f t="shared" si="29"/>
        <v>454</v>
      </c>
      <c r="F54" s="45">
        <f t="shared" si="30"/>
        <v>455</v>
      </c>
      <c r="G54" s="45">
        <f t="shared" si="31"/>
        <v>489</v>
      </c>
      <c r="H54" s="45">
        <f t="shared" si="32"/>
        <v>543</v>
      </c>
      <c r="I54" s="45">
        <f t="shared" si="33"/>
        <v>732</v>
      </c>
      <c r="J54" s="113">
        <f t="shared" si="220"/>
        <v>339</v>
      </c>
      <c r="K54" s="113">
        <f t="shared" si="221"/>
        <v>385</v>
      </c>
      <c r="L54" s="113">
        <f t="shared" si="222"/>
        <v>454</v>
      </c>
      <c r="M54" s="234">
        <f t="shared" si="223"/>
        <v>455</v>
      </c>
      <c r="N54" s="113">
        <f t="shared" si="224"/>
        <v>489</v>
      </c>
      <c r="O54" s="113">
        <f t="shared" si="225"/>
        <v>543</v>
      </c>
      <c r="P54" s="237">
        <f t="shared" si="226"/>
        <v>732</v>
      </c>
      <c r="Q54" s="281">
        <f t="shared" si="34"/>
        <v>162.72</v>
      </c>
      <c r="R54" s="282">
        <f t="shared" si="35"/>
        <v>162.72</v>
      </c>
      <c r="S54" s="236"/>
      <c r="T54" s="236">
        <v>140.69</v>
      </c>
      <c r="U54" s="236">
        <v>293.11</v>
      </c>
      <c r="V54" s="236">
        <v>332.54</v>
      </c>
      <c r="W54" s="236">
        <v>391.69</v>
      </c>
      <c r="X54" s="236">
        <v>394.38</v>
      </c>
      <c r="Y54" s="236">
        <v>423.46</v>
      </c>
      <c r="Z54" s="236">
        <v>470.23</v>
      </c>
      <c r="AA54" s="236">
        <v>634.55999999999995</v>
      </c>
      <c r="AC54">
        <f t="shared" si="36"/>
        <v>16.95</v>
      </c>
      <c r="AD54">
        <f t="shared" si="18"/>
        <v>19.25</v>
      </c>
      <c r="AE54">
        <f t="shared" si="19"/>
        <v>22.7</v>
      </c>
      <c r="AF54">
        <f t="shared" si="20"/>
        <v>22.75</v>
      </c>
      <c r="AG54">
        <f t="shared" si="21"/>
        <v>24.45</v>
      </c>
      <c r="AH54">
        <f t="shared" si="22"/>
        <v>27.15</v>
      </c>
      <c r="AI54">
        <f t="shared" si="23"/>
        <v>36.6</v>
      </c>
      <c r="AJ54">
        <f t="shared" si="24"/>
        <v>221</v>
      </c>
      <c r="AL54" s="294">
        <v>140.63999999999999</v>
      </c>
      <c r="AM54" t="str">
        <f t="shared" si="25"/>
        <v>TUREN</v>
      </c>
      <c r="AN54">
        <f t="shared" si="37"/>
        <v>638</v>
      </c>
      <c r="AO54" s="352">
        <f t="shared" si="38"/>
        <v>562</v>
      </c>
      <c r="AP54" s="352">
        <f t="shared" si="39"/>
        <v>589</v>
      </c>
      <c r="AQ54" s="352">
        <f t="shared" si="40"/>
        <v>204</v>
      </c>
      <c r="AR54" s="282">
        <f t="shared" si="41"/>
        <v>638</v>
      </c>
      <c r="AS54" s="282">
        <f t="shared" si="42"/>
        <v>562</v>
      </c>
      <c r="AT54" s="282">
        <f t="shared" si="43"/>
        <v>589</v>
      </c>
      <c r="AU54" s="282">
        <f t="shared" si="44"/>
        <v>204</v>
      </c>
      <c r="AY54" t="s">
        <v>75</v>
      </c>
      <c r="AZ54">
        <v>273</v>
      </c>
      <c r="BA54" s="352">
        <v>203.64550119091442</v>
      </c>
      <c r="BB54" s="352">
        <v>339.02347641442003</v>
      </c>
      <c r="BC54" s="352">
        <v>385.30654486690054</v>
      </c>
      <c r="BD54" s="352">
        <v>453.5740708343094</v>
      </c>
      <c r="BE54" s="352">
        <v>455.28854744601705</v>
      </c>
      <c r="BF54" s="352">
        <v>488.79963342554629</v>
      </c>
      <c r="BG54" s="352">
        <v>543.11070380616252</v>
      </c>
      <c r="BH54" s="352">
        <v>562.14729902570275</v>
      </c>
      <c r="BI54" s="352">
        <v>589.24377025193985</v>
      </c>
      <c r="BJ54" s="352">
        <v>731.52153891768671</v>
      </c>
    </row>
    <row r="55" spans="1:62" ht="15" customHeight="1">
      <c r="A55" s="62" t="s">
        <v>369</v>
      </c>
      <c r="B55" s="333">
        <v>296</v>
      </c>
      <c r="C55" s="45">
        <f t="shared" si="27"/>
        <v>359</v>
      </c>
      <c r="D55" s="45">
        <f t="shared" si="28"/>
        <v>409</v>
      </c>
      <c r="E55" s="45">
        <f t="shared" si="29"/>
        <v>479</v>
      </c>
      <c r="F55" s="45">
        <f t="shared" si="30"/>
        <v>483</v>
      </c>
      <c r="G55" s="45">
        <f t="shared" si="31"/>
        <v>517</v>
      </c>
      <c r="H55" s="45">
        <f t="shared" si="32"/>
        <v>573</v>
      </c>
      <c r="I55" s="45">
        <f t="shared" si="33"/>
        <v>763</v>
      </c>
      <c r="J55" s="113">
        <f t="shared" si="220"/>
        <v>359</v>
      </c>
      <c r="K55" s="113">
        <f t="shared" si="221"/>
        <v>409</v>
      </c>
      <c r="L55" s="113">
        <f t="shared" si="222"/>
        <v>479</v>
      </c>
      <c r="M55" s="234">
        <f t="shared" si="223"/>
        <v>483</v>
      </c>
      <c r="N55" s="113">
        <f t="shared" si="224"/>
        <v>517</v>
      </c>
      <c r="O55" s="113">
        <f t="shared" si="225"/>
        <v>573</v>
      </c>
      <c r="P55" s="237">
        <f t="shared" si="226"/>
        <v>763</v>
      </c>
      <c r="Q55" s="281">
        <f t="shared" si="34"/>
        <v>172.32</v>
      </c>
      <c r="R55" s="282">
        <f t="shared" si="35"/>
        <v>172.32</v>
      </c>
      <c r="S55" s="236"/>
      <c r="T55" s="236">
        <v>148.16999999999999</v>
      </c>
      <c r="U55" s="236">
        <v>308.69</v>
      </c>
      <c r="V55" s="236">
        <v>351.64</v>
      </c>
      <c r="W55" s="236">
        <v>412.04</v>
      </c>
      <c r="X55" s="236">
        <v>415.66</v>
      </c>
      <c r="Y55" s="236">
        <v>445.26</v>
      </c>
      <c r="Z55" s="236">
        <v>494.16</v>
      </c>
      <c r="AA55" s="236">
        <v>659.16</v>
      </c>
      <c r="AC55">
        <f t="shared" si="36"/>
        <v>17.95</v>
      </c>
      <c r="AD55">
        <f t="shared" si="18"/>
        <v>20.45</v>
      </c>
      <c r="AE55">
        <f t="shared" si="19"/>
        <v>23.95</v>
      </c>
      <c r="AF55">
        <f t="shared" si="20"/>
        <v>24.15</v>
      </c>
      <c r="AG55">
        <f t="shared" si="21"/>
        <v>25.85</v>
      </c>
      <c r="AH55">
        <f t="shared" si="22"/>
        <v>28.65</v>
      </c>
      <c r="AI55">
        <f t="shared" si="23"/>
        <v>38.15</v>
      </c>
      <c r="AJ55">
        <f t="shared" si="24"/>
        <v>235</v>
      </c>
      <c r="AL55" s="294">
        <v>148.32</v>
      </c>
      <c r="AM55" t="str">
        <f t="shared" si="25"/>
        <v>TUCUPIDO</v>
      </c>
      <c r="AN55">
        <f t="shared" si="37"/>
        <v>668</v>
      </c>
      <c r="AO55" s="352">
        <f t="shared" si="38"/>
        <v>593</v>
      </c>
      <c r="AP55" s="352">
        <f t="shared" si="39"/>
        <v>620</v>
      </c>
      <c r="AQ55" s="352">
        <f t="shared" si="40"/>
        <v>215</v>
      </c>
      <c r="AR55" s="282">
        <f t="shared" si="41"/>
        <v>668</v>
      </c>
      <c r="AS55" s="282">
        <f t="shared" si="42"/>
        <v>593</v>
      </c>
      <c r="AT55" s="282">
        <f t="shared" si="43"/>
        <v>620</v>
      </c>
      <c r="AU55" s="282">
        <f t="shared" si="44"/>
        <v>215</v>
      </c>
      <c r="AY55" t="s">
        <v>76</v>
      </c>
      <c r="AZ55">
        <v>296</v>
      </c>
      <c r="BA55" s="352">
        <v>215.07038986519288</v>
      </c>
      <c r="BB55" s="352">
        <v>359.22567820726812</v>
      </c>
      <c r="BC55" s="352">
        <v>409.21501206782648</v>
      </c>
      <c r="BD55" s="352">
        <v>478.96757094302416</v>
      </c>
      <c r="BE55" s="352">
        <v>482.94210459308215</v>
      </c>
      <c r="BF55" s="352">
        <v>516.60874169211911</v>
      </c>
      <c r="BG55" s="352">
        <v>573.493749204285</v>
      </c>
      <c r="BH55" s="352">
        <v>592.54912469541114</v>
      </c>
      <c r="BI55" s="352">
        <v>619.70064635992344</v>
      </c>
      <c r="BJ55" s="352">
        <v>762.54498881766858</v>
      </c>
    </row>
    <row r="56" spans="1:62" ht="15" customHeight="1">
      <c r="A56" s="62" t="s">
        <v>370</v>
      </c>
      <c r="B56" s="333">
        <v>296</v>
      </c>
      <c r="C56" s="45">
        <f t="shared" ref="C56" si="240">ROUND(BB56,0)</f>
        <v>359</v>
      </c>
      <c r="D56" s="45">
        <f t="shared" ref="D56" si="241">ROUND(BC56,0)</f>
        <v>409</v>
      </c>
      <c r="E56" s="45">
        <f t="shared" ref="E56" si="242">ROUND(BD56,0)</f>
        <v>479</v>
      </c>
      <c r="F56" s="45">
        <f t="shared" ref="F56" si="243">ROUND(BE56,0)</f>
        <v>483</v>
      </c>
      <c r="G56" s="45">
        <f t="shared" ref="G56" si="244">ROUND(BF56,0)</f>
        <v>517</v>
      </c>
      <c r="H56" s="45">
        <f t="shared" ref="H56" si="245">ROUND(BG56,0)</f>
        <v>573</v>
      </c>
      <c r="I56" s="45">
        <f t="shared" ref="I56" si="246">ROUND(BJ56,0)</f>
        <v>763</v>
      </c>
      <c r="J56" s="113">
        <f t="shared" ref="J56" si="247">C56*$M$1</f>
        <v>359</v>
      </c>
      <c r="K56" s="113">
        <f t="shared" ref="K56" si="248">D56*$M$1</f>
        <v>409</v>
      </c>
      <c r="L56" s="113">
        <f t="shared" ref="L56" si="249">E56*$M$1</f>
        <v>479</v>
      </c>
      <c r="M56" s="234">
        <f t="shared" ref="M56" si="250">F56*$M$1</f>
        <v>483</v>
      </c>
      <c r="N56" s="113">
        <f t="shared" ref="N56" si="251">G56*$M$1</f>
        <v>517</v>
      </c>
      <c r="O56" s="113">
        <f t="shared" ref="O56" si="252">H56*$M$1</f>
        <v>573</v>
      </c>
      <c r="P56" s="237">
        <f t="shared" ref="P56" si="253">I56*$M$1</f>
        <v>763</v>
      </c>
      <c r="Q56" s="281">
        <f t="shared" ref="Q56" si="254">1.2*C56/2.5</f>
        <v>172.32</v>
      </c>
      <c r="R56" s="282">
        <f t="shared" ref="R56" si="255">Q56*$M$1</f>
        <v>172.32</v>
      </c>
      <c r="S56" s="236"/>
      <c r="T56" s="236">
        <v>148.16999999999999</v>
      </c>
      <c r="U56" s="236">
        <v>308.69</v>
      </c>
      <c r="V56" s="236">
        <v>351.64</v>
      </c>
      <c r="W56" s="236">
        <v>412.04</v>
      </c>
      <c r="X56" s="236">
        <v>415.66</v>
      </c>
      <c r="Y56" s="236">
        <v>445.26</v>
      </c>
      <c r="Z56" s="236">
        <v>494.16</v>
      </c>
      <c r="AA56" s="236">
        <v>659.16</v>
      </c>
      <c r="AC56">
        <f t="shared" ref="AC56" si="256">C56/($B$16*2)</f>
        <v>17.95</v>
      </c>
      <c r="AD56">
        <f t="shared" ref="AD56" si="257">D56/($B$16*2)</f>
        <v>20.45</v>
      </c>
      <c r="AE56">
        <f t="shared" ref="AE56" si="258">E56/($B$16*2)</f>
        <v>23.95</v>
      </c>
      <c r="AF56">
        <f t="shared" ref="AF56" si="259">F56/($B$16*2)</f>
        <v>24.15</v>
      </c>
      <c r="AG56">
        <f t="shared" ref="AG56" si="260">G56/($B$16*2)</f>
        <v>25.85</v>
      </c>
      <c r="AH56">
        <f t="shared" ref="AH56" si="261">H56/($B$16*2)</f>
        <v>28.65</v>
      </c>
      <c r="AI56">
        <f t="shared" ref="AI56" si="262">I56/($B$16*2)</f>
        <v>38.15</v>
      </c>
      <c r="AJ56">
        <f t="shared" ref="AJ56" si="263">ROUND(((Q56-C56)/(2.5-1))+C56,0)</f>
        <v>235</v>
      </c>
      <c r="AL56" s="354">
        <v>148.32</v>
      </c>
      <c r="AM56" t="str">
        <f t="shared" ref="AM56" si="264">A56</f>
        <v>ZARAZA</v>
      </c>
      <c r="AN56">
        <f t="shared" ref="AN56" si="265">ROUND(H56+((20-10)/(30-10)*(I56-H56)),0)</f>
        <v>668</v>
      </c>
      <c r="AO56" s="352">
        <f t="shared" ref="AO56" si="266">ROUND(BH56,0)</f>
        <v>593</v>
      </c>
      <c r="AP56" s="352">
        <f t="shared" ref="AP56" si="267">ROUND(BI56,0)</f>
        <v>620</v>
      </c>
      <c r="AQ56" s="352">
        <f t="shared" ref="AQ56" si="268">ROUND(BA56,0)</f>
        <v>215</v>
      </c>
      <c r="AR56" s="282">
        <f t="shared" ref="AR56" si="269">AN56*$M$1</f>
        <v>668</v>
      </c>
      <c r="AS56" s="282">
        <f t="shared" ref="AS56" si="270">AO56*$M$1</f>
        <v>593</v>
      </c>
      <c r="AT56" s="282">
        <f t="shared" ref="AT56" si="271">AP56*$M$1</f>
        <v>620</v>
      </c>
      <c r="AU56" s="282">
        <f t="shared" ref="AU56" si="272">AQ56*$M$1</f>
        <v>215</v>
      </c>
      <c r="AY56" t="s">
        <v>76</v>
      </c>
      <c r="AZ56">
        <v>296</v>
      </c>
      <c r="BA56" s="352">
        <v>215.07038986519288</v>
      </c>
      <c r="BB56" s="352">
        <v>359.22567820726812</v>
      </c>
      <c r="BC56" s="352">
        <v>409.21501206782648</v>
      </c>
      <c r="BD56" s="352">
        <v>478.96757094302416</v>
      </c>
      <c r="BE56" s="352">
        <v>482.94210459308215</v>
      </c>
      <c r="BF56" s="352">
        <v>516.60874169211911</v>
      </c>
      <c r="BG56" s="352">
        <v>573.493749204285</v>
      </c>
      <c r="BH56" s="352">
        <v>592.54912469541114</v>
      </c>
      <c r="BI56" s="352">
        <v>619.70064635992344</v>
      </c>
      <c r="BJ56" s="352">
        <v>762.54498881766858</v>
      </c>
    </row>
    <row r="57" spans="1:62">
      <c r="A57" s="62" t="s">
        <v>77</v>
      </c>
      <c r="B57" s="333">
        <v>315</v>
      </c>
      <c r="C57" s="45">
        <f t="shared" si="27"/>
        <v>395</v>
      </c>
      <c r="D57" s="45">
        <f t="shared" si="28"/>
        <v>447</v>
      </c>
      <c r="E57" s="45">
        <f t="shared" si="29"/>
        <v>527</v>
      </c>
      <c r="F57" s="45">
        <f t="shared" si="30"/>
        <v>527</v>
      </c>
      <c r="G57" s="45">
        <f t="shared" si="31"/>
        <v>565</v>
      </c>
      <c r="H57" s="45">
        <f t="shared" si="32"/>
        <v>630</v>
      </c>
      <c r="I57" s="45">
        <f t="shared" si="33"/>
        <v>866</v>
      </c>
      <c r="J57" s="113">
        <f t="shared" si="220"/>
        <v>395</v>
      </c>
      <c r="K57" s="113">
        <f t="shared" si="221"/>
        <v>447</v>
      </c>
      <c r="L57" s="113">
        <f t="shared" si="222"/>
        <v>527</v>
      </c>
      <c r="M57" s="234">
        <f t="shared" si="223"/>
        <v>527</v>
      </c>
      <c r="N57" s="113">
        <f t="shared" si="224"/>
        <v>565</v>
      </c>
      <c r="O57" s="113">
        <f t="shared" si="225"/>
        <v>630</v>
      </c>
      <c r="P57" s="237">
        <f t="shared" si="226"/>
        <v>866</v>
      </c>
      <c r="Q57" s="281">
        <f t="shared" si="34"/>
        <v>189.6</v>
      </c>
      <c r="R57" s="282">
        <f t="shared" si="35"/>
        <v>189.6</v>
      </c>
      <c r="S57" s="236"/>
      <c r="T57" s="236">
        <v>164.23</v>
      </c>
      <c r="U57" s="236">
        <v>342.14</v>
      </c>
      <c r="V57" s="236">
        <v>386.7</v>
      </c>
      <c r="W57" s="236">
        <v>455.7</v>
      </c>
      <c r="X57" s="236">
        <v>457.37</v>
      </c>
      <c r="Y57" s="236">
        <v>490.43</v>
      </c>
      <c r="Z57" s="236">
        <v>545.53</v>
      </c>
      <c r="AA57" s="236">
        <v>752.7</v>
      </c>
      <c r="AC57">
        <f t="shared" si="36"/>
        <v>19.75</v>
      </c>
      <c r="AD57">
        <f t="shared" si="18"/>
        <v>22.35</v>
      </c>
      <c r="AE57">
        <f t="shared" si="19"/>
        <v>26.35</v>
      </c>
      <c r="AF57">
        <f t="shared" si="20"/>
        <v>26.35</v>
      </c>
      <c r="AG57">
        <f t="shared" si="21"/>
        <v>28.25</v>
      </c>
      <c r="AH57">
        <f t="shared" si="22"/>
        <v>31.5</v>
      </c>
      <c r="AI57">
        <f t="shared" si="23"/>
        <v>43.3</v>
      </c>
      <c r="AJ57">
        <f t="shared" si="24"/>
        <v>258</v>
      </c>
      <c r="AL57" s="294">
        <v>164.16</v>
      </c>
      <c r="AM57" t="str">
        <f t="shared" si="25"/>
        <v>GUANARE</v>
      </c>
      <c r="AN57">
        <f t="shared" si="37"/>
        <v>748</v>
      </c>
      <c r="AO57" s="352">
        <f t="shared" si="38"/>
        <v>653</v>
      </c>
      <c r="AP57" s="352">
        <f t="shared" si="39"/>
        <v>688</v>
      </c>
      <c r="AQ57" s="352">
        <f t="shared" si="40"/>
        <v>237</v>
      </c>
      <c r="AR57" s="282">
        <f t="shared" si="41"/>
        <v>748</v>
      </c>
      <c r="AS57" s="282">
        <f t="shared" si="42"/>
        <v>653</v>
      </c>
      <c r="AT57" s="282">
        <f t="shared" si="43"/>
        <v>688</v>
      </c>
      <c r="AU57" s="282">
        <f t="shared" si="44"/>
        <v>237</v>
      </c>
      <c r="AY57" t="s">
        <v>77</v>
      </c>
      <c r="AZ57">
        <v>315</v>
      </c>
      <c r="BA57" s="352">
        <v>236.81302563268574</v>
      </c>
      <c r="BB57" s="352">
        <v>395.07343788477328</v>
      </c>
      <c r="BC57" s="352">
        <v>447.05678497487503</v>
      </c>
      <c r="BD57" s="352">
        <v>526.76458384636442</v>
      </c>
      <c r="BE57" s="352">
        <v>527.23805080271472</v>
      </c>
      <c r="BF57" s="352">
        <v>565.30994506199181</v>
      </c>
      <c r="BG57" s="352">
        <v>629.91679592621949</v>
      </c>
      <c r="BH57" s="352">
        <v>653.44975882535823</v>
      </c>
      <c r="BI57" s="352">
        <v>688.48068967001245</v>
      </c>
      <c r="BJ57" s="352">
        <v>866.11374245718741</v>
      </c>
    </row>
    <row r="58" spans="1:62">
      <c r="A58" s="62" t="s">
        <v>78</v>
      </c>
      <c r="B58" s="333">
        <v>326</v>
      </c>
      <c r="C58" s="45">
        <f t="shared" si="27"/>
        <v>379</v>
      </c>
      <c r="D58" s="45">
        <f t="shared" si="28"/>
        <v>429</v>
      </c>
      <c r="E58" s="45">
        <f t="shared" si="29"/>
        <v>505</v>
      </c>
      <c r="F58" s="45">
        <f t="shared" si="30"/>
        <v>508</v>
      </c>
      <c r="G58" s="45">
        <f t="shared" si="31"/>
        <v>543</v>
      </c>
      <c r="H58" s="45">
        <f t="shared" si="32"/>
        <v>604</v>
      </c>
      <c r="I58" s="45">
        <f t="shared" si="33"/>
        <v>823</v>
      </c>
      <c r="J58" s="113">
        <f t="shared" si="220"/>
        <v>379</v>
      </c>
      <c r="K58" s="113">
        <f t="shared" si="221"/>
        <v>429</v>
      </c>
      <c r="L58" s="113">
        <f t="shared" si="222"/>
        <v>505</v>
      </c>
      <c r="M58" s="234">
        <f t="shared" si="223"/>
        <v>508</v>
      </c>
      <c r="N58" s="113">
        <f t="shared" si="224"/>
        <v>543</v>
      </c>
      <c r="O58" s="113">
        <f t="shared" si="225"/>
        <v>604</v>
      </c>
      <c r="P58" s="237">
        <f t="shared" si="226"/>
        <v>823</v>
      </c>
      <c r="Q58" s="281">
        <f t="shared" si="34"/>
        <v>181.92000000000002</v>
      </c>
      <c r="R58" s="282">
        <f t="shared" si="35"/>
        <v>181.92000000000002</v>
      </c>
      <c r="S58" s="236"/>
      <c r="T58" s="236">
        <v>155.74</v>
      </c>
      <c r="U58" s="236">
        <v>324.45</v>
      </c>
      <c r="V58" s="236">
        <v>366.83</v>
      </c>
      <c r="W58" s="236">
        <v>431.72</v>
      </c>
      <c r="X58" s="236">
        <v>434.9</v>
      </c>
      <c r="Y58" s="236">
        <v>465.33</v>
      </c>
      <c r="Z58" s="236">
        <v>517.32000000000005</v>
      </c>
      <c r="AA58" s="236">
        <v>707.32</v>
      </c>
      <c r="AC58">
        <f t="shared" si="36"/>
        <v>18.95</v>
      </c>
      <c r="AD58">
        <f t="shared" ref="AD58:AD93" si="273">D58/($B$16*2)</f>
        <v>21.45</v>
      </c>
      <c r="AE58">
        <f t="shared" ref="AE58:AE93" si="274">E58/($B$16*2)</f>
        <v>25.25</v>
      </c>
      <c r="AF58">
        <f t="shared" ref="AF58:AF93" si="275">F58/($B$16*2)</f>
        <v>25.4</v>
      </c>
      <c r="AG58">
        <f t="shared" ref="AG58:AG93" si="276">G58/($B$16*2)</f>
        <v>27.15</v>
      </c>
      <c r="AH58">
        <f t="shared" ref="AH58:AH93" si="277">H58/($B$16*2)</f>
        <v>30.2</v>
      </c>
      <c r="AI58">
        <f t="shared" ref="AI58:AI93" si="278">I58/($B$16*2)</f>
        <v>41.15</v>
      </c>
      <c r="AJ58">
        <f t="shared" si="24"/>
        <v>248</v>
      </c>
      <c r="AL58" s="294">
        <v>155.52000000000001</v>
      </c>
      <c r="AM58" t="str">
        <f t="shared" si="25"/>
        <v>SAN FERNANDO APURE</v>
      </c>
      <c r="AN58">
        <f t="shared" si="37"/>
        <v>714</v>
      </c>
      <c r="AO58" s="352">
        <f t="shared" si="38"/>
        <v>625</v>
      </c>
      <c r="AP58" s="352">
        <f t="shared" si="39"/>
        <v>658</v>
      </c>
      <c r="AQ58" s="352">
        <f t="shared" si="40"/>
        <v>227</v>
      </c>
      <c r="AR58" s="282">
        <f t="shared" si="41"/>
        <v>714</v>
      </c>
      <c r="AS58" s="282">
        <f t="shared" si="42"/>
        <v>625</v>
      </c>
      <c r="AT58" s="282">
        <f t="shared" si="43"/>
        <v>658</v>
      </c>
      <c r="AU58" s="282">
        <f t="shared" si="44"/>
        <v>227</v>
      </c>
      <c r="AY58" t="s">
        <v>78</v>
      </c>
      <c r="AZ58">
        <v>326</v>
      </c>
      <c r="BA58" s="352">
        <v>226.97380672400828</v>
      </c>
      <c r="BB58" s="352">
        <v>379.06965659061171</v>
      </c>
      <c r="BC58" s="352">
        <v>429.37828385418061</v>
      </c>
      <c r="BD58" s="352">
        <v>505.42620878748232</v>
      </c>
      <c r="BE58" s="352">
        <v>508.16057156428229</v>
      </c>
      <c r="BF58" s="352">
        <v>543.20612822388796</v>
      </c>
      <c r="BG58" s="352">
        <v>603.95175976720441</v>
      </c>
      <c r="BH58" s="352">
        <v>625.36313811380228</v>
      </c>
      <c r="BI58" s="352">
        <v>658.4128289143672</v>
      </c>
      <c r="BJ58" s="352">
        <v>822.97143834978681</v>
      </c>
    </row>
    <row r="59" spans="1:62">
      <c r="A59" s="62" t="s">
        <v>371</v>
      </c>
      <c r="B59" s="333">
        <v>369</v>
      </c>
      <c r="C59" s="45">
        <f t="shared" si="27"/>
        <v>450</v>
      </c>
      <c r="D59" s="45">
        <f t="shared" si="28"/>
        <v>508</v>
      </c>
      <c r="E59" s="45">
        <f t="shared" si="29"/>
        <v>600</v>
      </c>
      <c r="F59" s="45">
        <f t="shared" si="30"/>
        <v>602</v>
      </c>
      <c r="G59" s="45">
        <f t="shared" si="31"/>
        <v>643</v>
      </c>
      <c r="H59" s="45">
        <f t="shared" si="32"/>
        <v>715</v>
      </c>
      <c r="I59" s="45">
        <f t="shared" si="33"/>
        <v>980</v>
      </c>
      <c r="J59" s="113">
        <f t="shared" si="220"/>
        <v>450</v>
      </c>
      <c r="K59" s="113">
        <f t="shared" si="221"/>
        <v>508</v>
      </c>
      <c r="L59" s="113">
        <f t="shared" si="222"/>
        <v>600</v>
      </c>
      <c r="M59" s="234">
        <f t="shared" si="223"/>
        <v>602</v>
      </c>
      <c r="N59" s="113">
        <f t="shared" si="224"/>
        <v>643</v>
      </c>
      <c r="O59" s="113">
        <f t="shared" si="225"/>
        <v>715</v>
      </c>
      <c r="P59" s="237">
        <f t="shared" si="226"/>
        <v>980</v>
      </c>
      <c r="Q59" s="281">
        <f t="shared" si="34"/>
        <v>216</v>
      </c>
      <c r="R59" s="282">
        <f t="shared" si="35"/>
        <v>216</v>
      </c>
      <c r="S59" s="236"/>
      <c r="T59" s="236">
        <v>186.2</v>
      </c>
      <c r="U59" s="236">
        <v>387.92</v>
      </c>
      <c r="V59" s="236">
        <v>437.93</v>
      </c>
      <c r="W59" s="236">
        <v>516.72</v>
      </c>
      <c r="X59" s="236">
        <v>518.78</v>
      </c>
      <c r="Y59" s="236">
        <v>555.01</v>
      </c>
      <c r="Z59" s="236">
        <v>617.32000000000005</v>
      </c>
      <c r="AA59" s="236">
        <v>848.32</v>
      </c>
      <c r="AC59">
        <f t="shared" ref="AC59:AC94" si="279">C59/($B$16*2)</f>
        <v>22.5</v>
      </c>
      <c r="AD59">
        <f t="shared" si="273"/>
        <v>25.4</v>
      </c>
      <c r="AE59">
        <f t="shared" si="274"/>
        <v>30</v>
      </c>
      <c r="AF59">
        <f t="shared" si="275"/>
        <v>30.1</v>
      </c>
      <c r="AG59">
        <f t="shared" si="276"/>
        <v>32.15</v>
      </c>
      <c r="AH59">
        <f t="shared" si="277"/>
        <v>35.75</v>
      </c>
      <c r="AI59">
        <f t="shared" si="278"/>
        <v>49</v>
      </c>
      <c r="AJ59">
        <f t="shared" si="24"/>
        <v>294</v>
      </c>
      <c r="AL59" s="294">
        <v>186.23999999999998</v>
      </c>
      <c r="AM59" t="str">
        <f t="shared" si="25"/>
        <v>CHABASQUEN</v>
      </c>
      <c r="AN59">
        <f t="shared" si="37"/>
        <v>848</v>
      </c>
      <c r="AO59" s="352">
        <f t="shared" si="38"/>
        <v>741</v>
      </c>
      <c r="AP59" s="352">
        <f t="shared" si="39"/>
        <v>781</v>
      </c>
      <c r="AQ59" s="352">
        <f t="shared" si="40"/>
        <v>270</v>
      </c>
      <c r="AR59" s="282">
        <f t="shared" si="41"/>
        <v>848</v>
      </c>
      <c r="AS59" s="282">
        <f t="shared" si="42"/>
        <v>741</v>
      </c>
      <c r="AT59" s="282">
        <f t="shared" si="43"/>
        <v>781</v>
      </c>
      <c r="AU59" s="282">
        <f t="shared" si="44"/>
        <v>270</v>
      </c>
      <c r="AY59" t="s">
        <v>79</v>
      </c>
      <c r="AZ59">
        <v>369</v>
      </c>
      <c r="BA59" s="352">
        <v>270.4906043658994</v>
      </c>
      <c r="BB59" s="352">
        <v>450.43070598269946</v>
      </c>
      <c r="BC59" s="352">
        <v>508.47590005263498</v>
      </c>
      <c r="BD59" s="352">
        <v>600.1873066831331</v>
      </c>
      <c r="BE59" s="352">
        <v>601.68006416084461</v>
      </c>
      <c r="BF59" s="352">
        <v>643.41509751304181</v>
      </c>
      <c r="BG59" s="352">
        <v>715.29209939738166</v>
      </c>
      <c r="BH59" s="352">
        <v>741.11419503733293</v>
      </c>
      <c r="BI59" s="352">
        <v>780.80012227321401</v>
      </c>
      <c r="BJ59" s="352">
        <v>979.92524460917025</v>
      </c>
    </row>
    <row r="60" spans="1:62">
      <c r="A60" s="62" t="s">
        <v>372</v>
      </c>
      <c r="B60" s="333">
        <v>369</v>
      </c>
      <c r="C60" s="45">
        <f t="shared" ref="C60" si="280">ROUND(BB60,0)</f>
        <v>450</v>
      </c>
      <c r="D60" s="45">
        <f t="shared" ref="D60" si="281">ROUND(BC60,0)</f>
        <v>508</v>
      </c>
      <c r="E60" s="45">
        <f t="shared" ref="E60" si="282">ROUND(BD60,0)</f>
        <v>600</v>
      </c>
      <c r="F60" s="45">
        <f t="shared" ref="F60" si="283">ROUND(BE60,0)</f>
        <v>602</v>
      </c>
      <c r="G60" s="45">
        <f t="shared" ref="G60" si="284">ROUND(BF60,0)</f>
        <v>643</v>
      </c>
      <c r="H60" s="45">
        <f t="shared" ref="H60" si="285">ROUND(BG60,0)</f>
        <v>715</v>
      </c>
      <c r="I60" s="45">
        <f t="shared" ref="I60" si="286">ROUND(BJ60,0)</f>
        <v>980</v>
      </c>
      <c r="J60" s="113">
        <f t="shared" ref="J60" si="287">C60*$M$1</f>
        <v>450</v>
      </c>
      <c r="K60" s="113">
        <f t="shared" ref="K60" si="288">D60*$M$1</f>
        <v>508</v>
      </c>
      <c r="L60" s="113">
        <f t="shared" ref="L60" si="289">E60*$M$1</f>
        <v>600</v>
      </c>
      <c r="M60" s="234">
        <f t="shared" ref="M60" si="290">F60*$M$1</f>
        <v>602</v>
      </c>
      <c r="N60" s="113">
        <f t="shared" ref="N60" si="291">G60*$M$1</f>
        <v>643</v>
      </c>
      <c r="O60" s="113">
        <f t="shared" ref="O60" si="292">H60*$M$1</f>
        <v>715</v>
      </c>
      <c r="P60" s="237">
        <f t="shared" ref="P60" si="293">I60*$M$1</f>
        <v>980</v>
      </c>
      <c r="Q60" s="281">
        <f t="shared" ref="Q60" si="294">1.2*C60/2.5</f>
        <v>216</v>
      </c>
      <c r="R60" s="282">
        <f t="shared" ref="R60" si="295">Q60*$M$1</f>
        <v>216</v>
      </c>
      <c r="S60" s="236"/>
      <c r="T60" s="236">
        <v>186.2</v>
      </c>
      <c r="U60" s="236">
        <v>387.92</v>
      </c>
      <c r="V60" s="236">
        <v>437.93</v>
      </c>
      <c r="W60" s="236">
        <v>516.72</v>
      </c>
      <c r="X60" s="236">
        <v>518.78</v>
      </c>
      <c r="Y60" s="236">
        <v>555.01</v>
      </c>
      <c r="Z60" s="236">
        <v>617.32000000000005</v>
      </c>
      <c r="AA60" s="236">
        <v>848.32</v>
      </c>
      <c r="AC60">
        <f t="shared" ref="AC60" si="296">C60/($B$16*2)</f>
        <v>22.5</v>
      </c>
      <c r="AD60">
        <f t="shared" ref="AD60" si="297">D60/($B$16*2)</f>
        <v>25.4</v>
      </c>
      <c r="AE60">
        <f t="shared" ref="AE60" si="298">E60/($B$16*2)</f>
        <v>30</v>
      </c>
      <c r="AF60">
        <f t="shared" ref="AF60" si="299">F60/($B$16*2)</f>
        <v>30.1</v>
      </c>
      <c r="AG60">
        <f t="shared" ref="AG60" si="300">G60/($B$16*2)</f>
        <v>32.15</v>
      </c>
      <c r="AH60">
        <f t="shared" ref="AH60" si="301">H60/($B$16*2)</f>
        <v>35.75</v>
      </c>
      <c r="AI60">
        <f t="shared" ref="AI60" si="302">I60/($B$16*2)</f>
        <v>49</v>
      </c>
      <c r="AJ60">
        <f t="shared" ref="AJ60" si="303">ROUND(((Q60-C60)/(2.5-1))+C60,0)</f>
        <v>294</v>
      </c>
      <c r="AL60" s="354">
        <v>186.23999999999998</v>
      </c>
      <c r="AM60" t="str">
        <f t="shared" ref="AM60" si="304">A60</f>
        <v>BISCUCUY</v>
      </c>
      <c r="AN60">
        <f t="shared" ref="AN60" si="305">ROUND(H60+((20-10)/(30-10)*(I60-H60)),0)</f>
        <v>848</v>
      </c>
      <c r="AO60" s="352">
        <f t="shared" ref="AO60" si="306">ROUND(BH60,0)</f>
        <v>741</v>
      </c>
      <c r="AP60" s="352">
        <f t="shared" ref="AP60" si="307">ROUND(BI60,0)</f>
        <v>781</v>
      </c>
      <c r="AQ60" s="352">
        <f t="shared" ref="AQ60" si="308">ROUND(BA60,0)</f>
        <v>270</v>
      </c>
      <c r="AR60" s="282">
        <f t="shared" ref="AR60" si="309">AN60*$M$1</f>
        <v>848</v>
      </c>
      <c r="AS60" s="282">
        <f t="shared" ref="AS60" si="310">AO60*$M$1</f>
        <v>741</v>
      </c>
      <c r="AT60" s="282">
        <f t="shared" ref="AT60" si="311">AP60*$M$1</f>
        <v>781</v>
      </c>
      <c r="AU60" s="282">
        <f t="shared" ref="AU60" si="312">AQ60*$M$1</f>
        <v>270</v>
      </c>
      <c r="AY60" t="s">
        <v>79</v>
      </c>
      <c r="AZ60">
        <v>369</v>
      </c>
      <c r="BA60" s="352">
        <v>270.4906043658994</v>
      </c>
      <c r="BB60" s="352">
        <v>450.43070598269946</v>
      </c>
      <c r="BC60" s="352">
        <v>508.47590005263498</v>
      </c>
      <c r="BD60" s="352">
        <v>600.1873066831331</v>
      </c>
      <c r="BE60" s="352">
        <v>601.68006416084461</v>
      </c>
      <c r="BF60" s="352">
        <v>643.41509751304181</v>
      </c>
      <c r="BG60" s="352">
        <v>715.29209939738166</v>
      </c>
      <c r="BH60" s="352">
        <v>741.11419503733293</v>
      </c>
      <c r="BI60" s="352">
        <v>780.80012227321401</v>
      </c>
      <c r="BJ60" s="352">
        <v>979.92524460917025</v>
      </c>
    </row>
    <row r="61" spans="1:62" ht="16.5" customHeight="1">
      <c r="A61" s="62" t="s">
        <v>41</v>
      </c>
      <c r="B61" s="333">
        <v>416</v>
      </c>
      <c r="C61" s="45">
        <f t="shared" si="27"/>
        <v>494</v>
      </c>
      <c r="D61" s="45">
        <f t="shared" si="28"/>
        <v>559</v>
      </c>
      <c r="E61" s="45">
        <f t="shared" si="29"/>
        <v>658</v>
      </c>
      <c r="F61" s="45">
        <f t="shared" si="30"/>
        <v>659</v>
      </c>
      <c r="G61" s="45">
        <f t="shared" si="31"/>
        <v>706</v>
      </c>
      <c r="H61" s="45">
        <f t="shared" si="32"/>
        <v>785</v>
      </c>
      <c r="I61" s="45">
        <f t="shared" si="33"/>
        <v>1105</v>
      </c>
      <c r="J61" s="113">
        <f t="shared" si="220"/>
        <v>494</v>
      </c>
      <c r="K61" s="113">
        <f t="shared" si="221"/>
        <v>559</v>
      </c>
      <c r="L61" s="113">
        <f t="shared" si="222"/>
        <v>658</v>
      </c>
      <c r="M61" s="234">
        <f t="shared" si="223"/>
        <v>659</v>
      </c>
      <c r="N61" s="113">
        <f t="shared" si="224"/>
        <v>706</v>
      </c>
      <c r="O61" s="113">
        <f t="shared" si="225"/>
        <v>785</v>
      </c>
      <c r="P61" s="237">
        <f t="shared" si="226"/>
        <v>1105</v>
      </c>
      <c r="Q61" s="281">
        <f t="shared" si="34"/>
        <v>237.11999999999998</v>
      </c>
      <c r="R61" s="282">
        <f t="shared" si="35"/>
        <v>237.11999999999998</v>
      </c>
      <c r="S61" s="236"/>
      <c r="T61" s="236">
        <v>203.73</v>
      </c>
      <c r="U61" s="236">
        <v>424.44</v>
      </c>
      <c r="V61" s="236">
        <v>480.21</v>
      </c>
      <c r="W61" s="236">
        <v>565.41</v>
      </c>
      <c r="X61" s="236">
        <v>566.6</v>
      </c>
      <c r="Y61" s="236">
        <v>606.54999999999995</v>
      </c>
      <c r="Z61" s="236">
        <v>674.6</v>
      </c>
      <c r="AA61" s="236">
        <v>953.1</v>
      </c>
      <c r="AC61">
        <f t="shared" si="279"/>
        <v>24.7</v>
      </c>
      <c r="AD61">
        <f t="shared" si="273"/>
        <v>27.95</v>
      </c>
      <c r="AE61">
        <f t="shared" si="274"/>
        <v>32.9</v>
      </c>
      <c r="AF61">
        <f t="shared" si="275"/>
        <v>32.950000000000003</v>
      </c>
      <c r="AG61">
        <f t="shared" si="276"/>
        <v>35.299999999999997</v>
      </c>
      <c r="AH61">
        <f t="shared" si="277"/>
        <v>39.25</v>
      </c>
      <c r="AI61">
        <f t="shared" si="278"/>
        <v>55.25</v>
      </c>
      <c r="AJ61">
        <f t="shared" si="24"/>
        <v>323</v>
      </c>
      <c r="AL61" s="294">
        <v>203.51999999999998</v>
      </c>
      <c r="AM61" t="str">
        <f t="shared" si="25"/>
        <v>BARINAS</v>
      </c>
      <c r="AN61">
        <f t="shared" si="37"/>
        <v>945</v>
      </c>
      <c r="AO61" s="352">
        <f t="shared" si="38"/>
        <v>817</v>
      </c>
      <c r="AP61" s="352">
        <f t="shared" si="39"/>
        <v>864</v>
      </c>
      <c r="AQ61" s="352">
        <f t="shared" si="40"/>
        <v>296</v>
      </c>
      <c r="AR61" s="282">
        <f t="shared" si="41"/>
        <v>945</v>
      </c>
      <c r="AS61" s="282">
        <f t="shared" si="42"/>
        <v>817</v>
      </c>
      <c r="AT61" s="282">
        <f t="shared" si="43"/>
        <v>864</v>
      </c>
      <c r="AU61" s="282">
        <f t="shared" si="44"/>
        <v>296</v>
      </c>
      <c r="AY61" t="s">
        <v>41</v>
      </c>
      <c r="AZ61">
        <v>416</v>
      </c>
      <c r="BA61" s="352">
        <v>295.85520007785362</v>
      </c>
      <c r="BB61" s="352">
        <v>493.86852296460603</v>
      </c>
      <c r="BC61" s="352">
        <v>559.09644109200678</v>
      </c>
      <c r="BD61" s="352">
        <v>658.10310253538307</v>
      </c>
      <c r="BE61" s="352">
        <v>659.4760727845071</v>
      </c>
      <c r="BF61" s="352">
        <v>705.9999579897634</v>
      </c>
      <c r="BG61" s="352">
        <v>785.09056283869893</v>
      </c>
      <c r="BH61" s="352">
        <v>816.68201518059243</v>
      </c>
      <c r="BI61" s="352">
        <v>864.49613886577231</v>
      </c>
      <c r="BJ61" s="352">
        <v>1104.6954714844237</v>
      </c>
    </row>
    <row r="62" spans="1:62">
      <c r="A62" s="62" t="s">
        <v>80</v>
      </c>
      <c r="B62" s="333">
        <v>472</v>
      </c>
      <c r="C62" s="45">
        <f t="shared" si="27"/>
        <v>533</v>
      </c>
      <c r="D62" s="45">
        <f t="shared" si="28"/>
        <v>603</v>
      </c>
      <c r="E62" s="45">
        <f t="shared" si="29"/>
        <v>711</v>
      </c>
      <c r="F62" s="45">
        <f t="shared" si="30"/>
        <v>710</v>
      </c>
      <c r="G62" s="45">
        <f t="shared" si="31"/>
        <v>760</v>
      </c>
      <c r="H62" s="45">
        <f t="shared" si="32"/>
        <v>845</v>
      </c>
      <c r="I62" s="45">
        <f t="shared" si="33"/>
        <v>1146</v>
      </c>
      <c r="J62" s="113">
        <f t="shared" si="220"/>
        <v>533</v>
      </c>
      <c r="K62" s="113">
        <f t="shared" si="221"/>
        <v>603</v>
      </c>
      <c r="L62" s="113">
        <f t="shared" si="222"/>
        <v>711</v>
      </c>
      <c r="M62" s="234">
        <f t="shared" si="223"/>
        <v>710</v>
      </c>
      <c r="N62" s="113">
        <f t="shared" si="224"/>
        <v>760</v>
      </c>
      <c r="O62" s="113">
        <f t="shared" si="225"/>
        <v>845</v>
      </c>
      <c r="P62" s="237">
        <f t="shared" si="226"/>
        <v>1146</v>
      </c>
      <c r="Q62" s="281">
        <f t="shared" si="34"/>
        <v>255.84</v>
      </c>
      <c r="R62" s="282">
        <f t="shared" si="35"/>
        <v>255.84</v>
      </c>
      <c r="S62" s="236"/>
      <c r="T62" s="236">
        <v>217.26</v>
      </c>
      <c r="U62" s="236">
        <v>452.63</v>
      </c>
      <c r="V62" s="236">
        <v>512.36</v>
      </c>
      <c r="W62" s="236">
        <v>603.51</v>
      </c>
      <c r="X62" s="236">
        <v>604.02</v>
      </c>
      <c r="Y62" s="236">
        <v>647.48</v>
      </c>
      <c r="Z62" s="236">
        <v>719.43</v>
      </c>
      <c r="AA62" s="236">
        <v>979.32</v>
      </c>
      <c r="AC62">
        <f t="shared" si="279"/>
        <v>26.65</v>
      </c>
      <c r="AD62">
        <f t="shared" si="273"/>
        <v>30.15</v>
      </c>
      <c r="AE62">
        <f t="shared" si="274"/>
        <v>35.549999999999997</v>
      </c>
      <c r="AF62">
        <f t="shared" si="275"/>
        <v>35.5</v>
      </c>
      <c r="AG62">
        <f t="shared" si="276"/>
        <v>38</v>
      </c>
      <c r="AH62">
        <f t="shared" si="277"/>
        <v>42.25</v>
      </c>
      <c r="AI62">
        <f t="shared" si="278"/>
        <v>57.3</v>
      </c>
      <c r="AJ62">
        <f t="shared" si="24"/>
        <v>348</v>
      </c>
      <c r="AL62" s="294">
        <v>217.44</v>
      </c>
      <c r="AM62" t="str">
        <f t="shared" si="25"/>
        <v>SOCOPO</v>
      </c>
      <c r="AN62">
        <f t="shared" si="37"/>
        <v>996</v>
      </c>
      <c r="AO62" s="352">
        <f t="shared" si="38"/>
        <v>874</v>
      </c>
      <c r="AP62" s="352">
        <f t="shared" si="39"/>
        <v>919</v>
      </c>
      <c r="AQ62" s="352">
        <f t="shared" si="40"/>
        <v>320</v>
      </c>
      <c r="AR62" s="282">
        <f t="shared" si="41"/>
        <v>996</v>
      </c>
      <c r="AS62" s="282">
        <f t="shared" si="42"/>
        <v>874</v>
      </c>
      <c r="AT62" s="282">
        <f t="shared" si="43"/>
        <v>919</v>
      </c>
      <c r="AU62" s="282">
        <f t="shared" si="44"/>
        <v>320</v>
      </c>
      <c r="AY62" t="s">
        <v>80</v>
      </c>
      <c r="AZ62">
        <v>472</v>
      </c>
      <c r="BA62" s="352">
        <v>320.12912931848945</v>
      </c>
      <c r="BB62" s="352">
        <v>533.15623375469011</v>
      </c>
      <c r="BC62" s="352">
        <v>602.59600812892131</v>
      </c>
      <c r="BD62" s="352">
        <v>710.87497833958696</v>
      </c>
      <c r="BE62" s="352">
        <v>709.71470824868982</v>
      </c>
      <c r="BF62" s="352">
        <v>760.24075535910981</v>
      </c>
      <c r="BG62" s="352">
        <v>844.8425086602781</v>
      </c>
      <c r="BH62" s="352">
        <v>874.21315891686766</v>
      </c>
      <c r="BI62" s="352">
        <v>918.79760301091005</v>
      </c>
      <c r="BJ62" s="352">
        <v>1145.9463041451095</v>
      </c>
    </row>
    <row r="63" spans="1:62" ht="16.5" customHeight="1">
      <c r="A63" s="62" t="s">
        <v>81</v>
      </c>
      <c r="B63" s="333">
        <v>550</v>
      </c>
      <c r="C63" s="45">
        <f t="shared" si="27"/>
        <v>647</v>
      </c>
      <c r="D63" s="45">
        <f t="shared" si="28"/>
        <v>732</v>
      </c>
      <c r="E63" s="45">
        <f t="shared" si="29"/>
        <v>863</v>
      </c>
      <c r="F63" s="45">
        <f t="shared" si="30"/>
        <v>860</v>
      </c>
      <c r="G63" s="45">
        <f t="shared" si="31"/>
        <v>921</v>
      </c>
      <c r="H63" s="45">
        <f t="shared" si="32"/>
        <v>1023</v>
      </c>
      <c r="I63" s="45">
        <f t="shared" si="33"/>
        <v>1397</v>
      </c>
      <c r="J63" s="113">
        <f t="shared" si="220"/>
        <v>647</v>
      </c>
      <c r="K63" s="113">
        <f t="shared" si="221"/>
        <v>732</v>
      </c>
      <c r="L63" s="113">
        <f t="shared" si="222"/>
        <v>863</v>
      </c>
      <c r="M63" s="234">
        <f t="shared" si="223"/>
        <v>860</v>
      </c>
      <c r="N63" s="113">
        <f t="shared" si="224"/>
        <v>921</v>
      </c>
      <c r="O63" s="113">
        <f t="shared" si="225"/>
        <v>1023</v>
      </c>
      <c r="P63" s="237">
        <f t="shared" si="226"/>
        <v>1397</v>
      </c>
      <c r="Q63" s="281">
        <f t="shared" si="34"/>
        <v>310.56</v>
      </c>
      <c r="R63" s="282">
        <f t="shared" si="35"/>
        <v>310.56</v>
      </c>
      <c r="S63" s="236"/>
      <c r="T63" s="236">
        <v>265.72000000000003</v>
      </c>
      <c r="U63" s="236">
        <v>553.59</v>
      </c>
      <c r="V63" s="236">
        <v>625.59</v>
      </c>
      <c r="W63" s="236">
        <v>737.59</v>
      </c>
      <c r="X63" s="236">
        <v>737.06</v>
      </c>
      <c r="Y63" s="236">
        <v>788.83</v>
      </c>
      <c r="Z63" s="236">
        <v>877.16</v>
      </c>
      <c r="AA63" s="236">
        <v>1201.1600000000001</v>
      </c>
      <c r="AC63">
        <f t="shared" si="279"/>
        <v>32.35</v>
      </c>
      <c r="AD63">
        <f t="shared" si="273"/>
        <v>36.6</v>
      </c>
      <c r="AE63">
        <f t="shared" si="274"/>
        <v>43.15</v>
      </c>
      <c r="AF63">
        <f t="shared" si="275"/>
        <v>43</v>
      </c>
      <c r="AG63">
        <f t="shared" si="276"/>
        <v>46.05</v>
      </c>
      <c r="AH63">
        <f t="shared" si="277"/>
        <v>51.15</v>
      </c>
      <c r="AI63">
        <f t="shared" si="278"/>
        <v>69.849999999999994</v>
      </c>
      <c r="AJ63">
        <f t="shared" si="24"/>
        <v>423</v>
      </c>
      <c r="AL63" s="294">
        <v>265.91999999999996</v>
      </c>
      <c r="AM63" t="str">
        <f t="shared" si="25"/>
        <v>MANTECAL</v>
      </c>
      <c r="AN63">
        <f t="shared" si="37"/>
        <v>1210</v>
      </c>
      <c r="AO63" s="352">
        <f t="shared" si="38"/>
        <v>1059</v>
      </c>
      <c r="AP63" s="352">
        <f t="shared" si="39"/>
        <v>1115</v>
      </c>
      <c r="AQ63" s="352">
        <f t="shared" si="40"/>
        <v>388</v>
      </c>
      <c r="AR63" s="282">
        <f t="shared" si="41"/>
        <v>1210</v>
      </c>
      <c r="AS63" s="282">
        <f t="shared" si="42"/>
        <v>1059</v>
      </c>
      <c r="AT63" s="282">
        <f t="shared" si="43"/>
        <v>1115</v>
      </c>
      <c r="AU63" s="282">
        <f t="shared" si="44"/>
        <v>388</v>
      </c>
      <c r="AY63" t="s">
        <v>81</v>
      </c>
      <c r="AZ63">
        <v>550</v>
      </c>
      <c r="BA63" s="352">
        <v>388.01949252636939</v>
      </c>
      <c r="BB63" s="352">
        <v>647.4783098180983</v>
      </c>
      <c r="BC63" s="352">
        <v>731.62711542622651</v>
      </c>
      <c r="BD63" s="352">
        <v>862.52525748331504</v>
      </c>
      <c r="BE63" s="352">
        <v>860.06818407715286</v>
      </c>
      <c r="BF63" s="352">
        <v>920.7514209455544</v>
      </c>
      <c r="BG63" s="352">
        <v>1023.4461294920802</v>
      </c>
      <c r="BH63" s="352">
        <v>1059.4762688442634</v>
      </c>
      <c r="BI63" s="352">
        <v>1115.2723210893892</v>
      </c>
      <c r="BJ63" s="352">
        <v>1396.6229416848767</v>
      </c>
    </row>
    <row r="64" spans="1:62">
      <c r="A64" s="62" t="s">
        <v>82</v>
      </c>
      <c r="B64" s="333">
        <v>682</v>
      </c>
      <c r="C64" s="45">
        <f t="shared" si="27"/>
        <v>799</v>
      </c>
      <c r="D64" s="45">
        <f t="shared" si="28"/>
        <v>907</v>
      </c>
      <c r="E64" s="45">
        <f t="shared" si="29"/>
        <v>1066</v>
      </c>
      <c r="F64" s="45">
        <f t="shared" si="30"/>
        <v>1060</v>
      </c>
      <c r="G64" s="45">
        <f t="shared" si="31"/>
        <v>1137</v>
      </c>
      <c r="H64" s="45">
        <f t="shared" si="32"/>
        <v>1263</v>
      </c>
      <c r="I64" s="45">
        <f t="shared" si="33"/>
        <v>1709</v>
      </c>
      <c r="J64" s="113">
        <f t="shared" si="220"/>
        <v>799</v>
      </c>
      <c r="K64" s="113">
        <f t="shared" si="221"/>
        <v>907</v>
      </c>
      <c r="L64" s="113">
        <f t="shared" si="222"/>
        <v>1066</v>
      </c>
      <c r="M64" s="234">
        <f t="shared" si="223"/>
        <v>1060</v>
      </c>
      <c r="N64" s="113">
        <f t="shared" si="224"/>
        <v>1137</v>
      </c>
      <c r="O64" s="113">
        <f t="shared" si="225"/>
        <v>1263</v>
      </c>
      <c r="P64" s="237">
        <f t="shared" si="226"/>
        <v>1709</v>
      </c>
      <c r="Q64" s="281">
        <f t="shared" si="34"/>
        <v>383.52</v>
      </c>
      <c r="R64" s="282">
        <f t="shared" si="35"/>
        <v>383.52</v>
      </c>
      <c r="S64" s="236"/>
      <c r="T64" s="236">
        <v>327.91</v>
      </c>
      <c r="U64" s="236">
        <v>683.15</v>
      </c>
      <c r="V64" s="236">
        <v>774.58</v>
      </c>
      <c r="W64" s="236">
        <v>910.86</v>
      </c>
      <c r="X64" s="236">
        <v>907.4</v>
      </c>
      <c r="Y64" s="236">
        <v>972.91</v>
      </c>
      <c r="Z64" s="236">
        <v>1081.01</v>
      </c>
      <c r="AA64" s="236">
        <v>1467.68</v>
      </c>
      <c r="AC64">
        <f t="shared" si="279"/>
        <v>39.950000000000003</v>
      </c>
      <c r="AD64">
        <f t="shared" si="273"/>
        <v>45.35</v>
      </c>
      <c r="AE64">
        <f t="shared" si="274"/>
        <v>53.3</v>
      </c>
      <c r="AF64">
        <f t="shared" si="275"/>
        <v>53</v>
      </c>
      <c r="AG64">
        <f t="shared" si="276"/>
        <v>56.85</v>
      </c>
      <c r="AH64">
        <f t="shared" si="277"/>
        <v>63.15</v>
      </c>
      <c r="AI64">
        <f t="shared" si="278"/>
        <v>85.45</v>
      </c>
      <c r="AJ64">
        <f t="shared" si="24"/>
        <v>522</v>
      </c>
      <c r="AL64" s="294">
        <v>327.84000000000003</v>
      </c>
      <c r="AM64" t="str">
        <f t="shared" si="25"/>
        <v>GUASDUALITO</v>
      </c>
      <c r="AN64">
        <f t="shared" si="37"/>
        <v>1486</v>
      </c>
      <c r="AO64" s="352">
        <f t="shared" si="38"/>
        <v>1307</v>
      </c>
      <c r="AP64" s="352">
        <f t="shared" si="39"/>
        <v>1373</v>
      </c>
      <c r="AQ64" s="352">
        <f t="shared" si="40"/>
        <v>480</v>
      </c>
      <c r="AR64" s="282">
        <f t="shared" si="41"/>
        <v>1486</v>
      </c>
      <c r="AS64" s="282">
        <f t="shared" si="42"/>
        <v>1307</v>
      </c>
      <c r="AT64" s="282">
        <f t="shared" si="43"/>
        <v>1373</v>
      </c>
      <c r="AU64" s="282">
        <f t="shared" si="44"/>
        <v>480</v>
      </c>
      <c r="AY64" t="s">
        <v>82</v>
      </c>
      <c r="AZ64">
        <v>682</v>
      </c>
      <c r="BA64" s="352">
        <v>479.69811338248837</v>
      </c>
      <c r="BB64" s="352">
        <v>799.10685717131605</v>
      </c>
      <c r="BC64" s="352">
        <v>906.74643383275225</v>
      </c>
      <c r="BD64" s="352">
        <v>1065.8658080279192</v>
      </c>
      <c r="BE64" s="352">
        <v>1059.5813848104717</v>
      </c>
      <c r="BF64" s="352">
        <v>1136.6843301219285</v>
      </c>
      <c r="BG64" s="352">
        <v>1262.8527860861302</v>
      </c>
      <c r="BH64" s="352">
        <v>1306.7737406657</v>
      </c>
      <c r="BI64" s="352">
        <v>1372.8063058897108</v>
      </c>
      <c r="BJ64" s="352">
        <v>1708.8493566688771</v>
      </c>
    </row>
    <row r="65" spans="1:62" ht="16.5" customHeight="1">
      <c r="A65" s="42" t="s">
        <v>83</v>
      </c>
      <c r="B65" s="335"/>
      <c r="C65" s="45">
        <f t="shared" si="27"/>
        <v>0</v>
      </c>
      <c r="D65" s="45">
        <f t="shared" si="28"/>
        <v>0</v>
      </c>
      <c r="E65" s="45">
        <f t="shared" si="29"/>
        <v>0</v>
      </c>
      <c r="F65" s="45">
        <f t="shared" si="30"/>
        <v>0</v>
      </c>
      <c r="G65" s="45">
        <f t="shared" si="31"/>
        <v>0</v>
      </c>
      <c r="H65" s="45">
        <f t="shared" si="32"/>
        <v>0</v>
      </c>
      <c r="I65" s="45">
        <f t="shared" si="33"/>
        <v>0</v>
      </c>
      <c r="J65" s="243"/>
      <c r="K65" s="243"/>
      <c r="L65" s="243"/>
      <c r="M65" s="244"/>
      <c r="N65" s="243"/>
      <c r="O65" s="243"/>
      <c r="P65" s="245"/>
      <c r="Q65" s="245"/>
      <c r="R65" s="245"/>
      <c r="S65" s="236"/>
      <c r="T65" s="245"/>
      <c r="U65" s="245"/>
      <c r="V65" s="245"/>
      <c r="W65" s="245"/>
      <c r="X65" s="245"/>
      <c r="Y65" s="245"/>
      <c r="Z65" s="245"/>
      <c r="AA65" s="245"/>
      <c r="AC65">
        <f t="shared" si="279"/>
        <v>0</v>
      </c>
      <c r="AD65">
        <f t="shared" si="273"/>
        <v>0</v>
      </c>
      <c r="AE65">
        <f t="shared" si="274"/>
        <v>0</v>
      </c>
      <c r="AF65">
        <f t="shared" si="275"/>
        <v>0</v>
      </c>
      <c r="AG65">
        <f t="shared" si="276"/>
        <v>0</v>
      </c>
      <c r="AH65">
        <f t="shared" si="277"/>
        <v>0</v>
      </c>
      <c r="AI65">
        <f t="shared" si="278"/>
        <v>0</v>
      </c>
      <c r="AJ65">
        <f t="shared" si="24"/>
        <v>0</v>
      </c>
      <c r="AL65" s="294"/>
      <c r="AM65" t="str">
        <f t="shared" si="25"/>
        <v>Región Centro Occidente</v>
      </c>
      <c r="AN65">
        <f t="shared" si="37"/>
        <v>0</v>
      </c>
      <c r="AO65" s="352">
        <f t="shared" si="38"/>
        <v>0</v>
      </c>
      <c r="AP65" s="352">
        <f t="shared" si="39"/>
        <v>0</v>
      </c>
      <c r="AQ65" s="352">
        <f t="shared" si="40"/>
        <v>0</v>
      </c>
      <c r="AR65" s="282">
        <f t="shared" si="41"/>
        <v>0</v>
      </c>
      <c r="AS65" s="282">
        <f t="shared" si="42"/>
        <v>0</v>
      </c>
      <c r="AT65" s="282">
        <f t="shared" si="43"/>
        <v>0</v>
      </c>
      <c r="AU65" s="282">
        <f t="shared" si="44"/>
        <v>0</v>
      </c>
    </row>
    <row r="66" spans="1:62">
      <c r="A66" s="62" t="s">
        <v>373</v>
      </c>
      <c r="B66" s="333">
        <v>99</v>
      </c>
      <c r="C66" s="45">
        <f t="shared" si="27"/>
        <v>197</v>
      </c>
      <c r="D66" s="45">
        <f t="shared" si="28"/>
        <v>223</v>
      </c>
      <c r="E66" s="45">
        <f t="shared" si="29"/>
        <v>263</v>
      </c>
      <c r="F66" s="45">
        <f t="shared" si="30"/>
        <v>271</v>
      </c>
      <c r="G66" s="45">
        <f t="shared" si="31"/>
        <v>277</v>
      </c>
      <c r="H66" s="45">
        <f t="shared" si="32"/>
        <v>308</v>
      </c>
      <c r="I66" s="45">
        <f t="shared" si="33"/>
        <v>416</v>
      </c>
      <c r="J66" s="113">
        <f t="shared" ref="J66:P74" si="313">C66*$M$1</f>
        <v>197</v>
      </c>
      <c r="K66" s="113">
        <f t="shared" si="313"/>
        <v>223</v>
      </c>
      <c r="L66" s="113">
        <f t="shared" si="313"/>
        <v>263</v>
      </c>
      <c r="M66" s="234">
        <f t="shared" si="313"/>
        <v>271</v>
      </c>
      <c r="N66" s="113">
        <f t="shared" si="313"/>
        <v>277</v>
      </c>
      <c r="O66" s="113">
        <f t="shared" si="313"/>
        <v>308</v>
      </c>
      <c r="P66" s="237">
        <f t="shared" si="313"/>
        <v>416</v>
      </c>
      <c r="Q66" s="281">
        <f t="shared" si="34"/>
        <v>94.559999999999988</v>
      </c>
      <c r="R66" s="282">
        <f t="shared" si="35"/>
        <v>94.559999999999988</v>
      </c>
      <c r="S66" s="236"/>
      <c r="T66" s="236">
        <v>86.34</v>
      </c>
      <c r="U66" s="236">
        <v>179.88</v>
      </c>
      <c r="V66" s="236">
        <v>204.3</v>
      </c>
      <c r="W66" s="236">
        <v>239.84</v>
      </c>
      <c r="X66" s="236">
        <v>248.3</v>
      </c>
      <c r="Y66" s="236">
        <v>252.82</v>
      </c>
      <c r="Z66" s="236">
        <v>282.16000000000003</v>
      </c>
      <c r="AA66" s="236">
        <v>381.16</v>
      </c>
      <c r="AC66">
        <f t="shared" si="279"/>
        <v>9.85</v>
      </c>
      <c r="AD66">
        <f t="shared" si="273"/>
        <v>11.15</v>
      </c>
      <c r="AE66">
        <f t="shared" si="274"/>
        <v>13.15</v>
      </c>
      <c r="AF66">
        <f t="shared" si="275"/>
        <v>13.55</v>
      </c>
      <c r="AG66">
        <f t="shared" si="276"/>
        <v>13.85</v>
      </c>
      <c r="AH66">
        <f t="shared" si="277"/>
        <v>15.4</v>
      </c>
      <c r="AI66">
        <f t="shared" si="278"/>
        <v>20.8</v>
      </c>
      <c r="AJ66">
        <f t="shared" si="24"/>
        <v>129</v>
      </c>
      <c r="AL66" s="294">
        <v>86.4</v>
      </c>
      <c r="AM66" t="str">
        <f t="shared" si="25"/>
        <v>BEJUMA</v>
      </c>
      <c r="AN66">
        <f t="shared" si="37"/>
        <v>362</v>
      </c>
      <c r="AO66" s="352">
        <f t="shared" si="38"/>
        <v>319</v>
      </c>
      <c r="AP66" s="352">
        <f t="shared" si="39"/>
        <v>336</v>
      </c>
      <c r="AQ66" s="352">
        <f t="shared" si="40"/>
        <v>118</v>
      </c>
      <c r="AR66" s="282">
        <f t="shared" si="41"/>
        <v>362</v>
      </c>
      <c r="AS66" s="282">
        <f t="shared" si="42"/>
        <v>319</v>
      </c>
      <c r="AT66" s="282">
        <f t="shared" si="43"/>
        <v>336</v>
      </c>
      <c r="AU66" s="282">
        <f t="shared" si="44"/>
        <v>118</v>
      </c>
      <c r="AY66" t="s">
        <v>84</v>
      </c>
      <c r="AZ66">
        <v>99</v>
      </c>
      <c r="BA66" s="352">
        <v>118.19449931040012</v>
      </c>
      <c r="BB66" s="352">
        <v>196.9908321840002</v>
      </c>
      <c r="BC66" s="352">
        <v>223.25627647520022</v>
      </c>
      <c r="BD66" s="352">
        <v>262.65444291200026</v>
      </c>
      <c r="BE66" s="352">
        <v>271.27472441851938</v>
      </c>
      <c r="BF66" s="352">
        <v>276.7439728946992</v>
      </c>
      <c r="BG66" s="352">
        <v>308.46561405654217</v>
      </c>
      <c r="BH66" s="352">
        <v>319.27039087101906</v>
      </c>
      <c r="BI66" s="352">
        <v>335.53671130248358</v>
      </c>
      <c r="BJ66" s="352">
        <v>416.25781482922747</v>
      </c>
    </row>
    <row r="67" spans="1:62">
      <c r="A67" s="62" t="s">
        <v>374</v>
      </c>
      <c r="B67" s="333">
        <v>99</v>
      </c>
      <c r="C67" s="45">
        <f t="shared" ref="C67" si="314">ROUND(BB67,0)</f>
        <v>197</v>
      </c>
      <c r="D67" s="45">
        <f t="shared" ref="D67" si="315">ROUND(BC67,0)</f>
        <v>223</v>
      </c>
      <c r="E67" s="45">
        <f t="shared" ref="E67" si="316">ROUND(BD67,0)</f>
        <v>263</v>
      </c>
      <c r="F67" s="45">
        <f t="shared" ref="F67" si="317">ROUND(BE67,0)</f>
        <v>271</v>
      </c>
      <c r="G67" s="45">
        <f t="shared" ref="G67" si="318">ROUND(BF67,0)</f>
        <v>277</v>
      </c>
      <c r="H67" s="45">
        <f t="shared" ref="H67" si="319">ROUND(BG67,0)</f>
        <v>308</v>
      </c>
      <c r="I67" s="45">
        <f t="shared" ref="I67" si="320">ROUND(BJ67,0)</f>
        <v>416</v>
      </c>
      <c r="J67" s="113">
        <f t="shared" ref="J67" si="321">C67*$M$1</f>
        <v>197</v>
      </c>
      <c r="K67" s="113">
        <f t="shared" ref="K67" si="322">D67*$M$1</f>
        <v>223</v>
      </c>
      <c r="L67" s="113">
        <f t="shared" ref="L67" si="323">E67*$M$1</f>
        <v>263</v>
      </c>
      <c r="M67" s="234">
        <f t="shared" ref="M67" si="324">F67*$M$1</f>
        <v>271</v>
      </c>
      <c r="N67" s="113">
        <f t="shared" ref="N67" si="325">G67*$M$1</f>
        <v>277</v>
      </c>
      <c r="O67" s="113">
        <f t="shared" ref="O67" si="326">H67*$M$1</f>
        <v>308</v>
      </c>
      <c r="P67" s="237">
        <f t="shared" ref="P67" si="327">I67*$M$1</f>
        <v>416</v>
      </c>
      <c r="Q67" s="281">
        <f t="shared" ref="Q67" si="328">1.2*C67/2.5</f>
        <v>94.559999999999988</v>
      </c>
      <c r="R67" s="282">
        <f t="shared" ref="R67" si="329">Q67*$M$1</f>
        <v>94.559999999999988</v>
      </c>
      <c r="S67" s="236"/>
      <c r="T67" s="236">
        <v>86.34</v>
      </c>
      <c r="U67" s="236">
        <v>179.88</v>
      </c>
      <c r="V67" s="236">
        <v>204.3</v>
      </c>
      <c r="W67" s="236">
        <v>239.84</v>
      </c>
      <c r="X67" s="236">
        <v>248.3</v>
      </c>
      <c r="Y67" s="236">
        <v>252.82</v>
      </c>
      <c r="Z67" s="236">
        <v>282.16000000000003</v>
      </c>
      <c r="AA67" s="236">
        <v>381.16</v>
      </c>
      <c r="AC67">
        <f t="shared" ref="AC67" si="330">C67/($B$16*2)</f>
        <v>9.85</v>
      </c>
      <c r="AD67">
        <f t="shared" ref="AD67" si="331">D67/($B$16*2)</f>
        <v>11.15</v>
      </c>
      <c r="AE67">
        <f t="shared" ref="AE67" si="332">E67/($B$16*2)</f>
        <v>13.15</v>
      </c>
      <c r="AF67">
        <f t="shared" ref="AF67" si="333">F67/($B$16*2)</f>
        <v>13.55</v>
      </c>
      <c r="AG67">
        <f t="shared" ref="AG67" si="334">G67/($B$16*2)</f>
        <v>13.85</v>
      </c>
      <c r="AH67">
        <f t="shared" ref="AH67" si="335">H67/($B$16*2)</f>
        <v>15.4</v>
      </c>
      <c r="AI67">
        <f t="shared" ref="AI67" si="336">I67/($B$16*2)</f>
        <v>20.8</v>
      </c>
      <c r="AJ67">
        <f t="shared" ref="AJ67" si="337">ROUND(((Q67-C67)/(2.5-1))+C67,0)</f>
        <v>129</v>
      </c>
      <c r="AL67" s="354">
        <v>86.4</v>
      </c>
      <c r="AM67" t="str">
        <f t="shared" ref="AM67" si="338">A67</f>
        <v>NIRGUA</v>
      </c>
      <c r="AN67">
        <f t="shared" ref="AN67" si="339">ROUND(H67+((20-10)/(30-10)*(I67-H67)),0)</f>
        <v>362</v>
      </c>
      <c r="AO67" s="352">
        <f t="shared" ref="AO67" si="340">ROUND(BH67,0)</f>
        <v>319</v>
      </c>
      <c r="AP67" s="352">
        <f t="shared" ref="AP67" si="341">ROUND(BI67,0)</f>
        <v>336</v>
      </c>
      <c r="AQ67" s="352">
        <f t="shared" ref="AQ67" si="342">ROUND(BA67,0)</f>
        <v>118</v>
      </c>
      <c r="AR67" s="282">
        <f t="shared" ref="AR67" si="343">AN67*$M$1</f>
        <v>362</v>
      </c>
      <c r="AS67" s="282">
        <f t="shared" ref="AS67" si="344">AO67*$M$1</f>
        <v>319</v>
      </c>
      <c r="AT67" s="282">
        <f t="shared" ref="AT67" si="345">AP67*$M$1</f>
        <v>336</v>
      </c>
      <c r="AU67" s="282">
        <f t="shared" ref="AU67" si="346">AQ67*$M$1</f>
        <v>118</v>
      </c>
      <c r="AY67" t="s">
        <v>84</v>
      </c>
      <c r="AZ67">
        <v>99</v>
      </c>
      <c r="BA67" s="352">
        <v>118.19449931040012</v>
      </c>
      <c r="BB67" s="352">
        <v>196.9908321840002</v>
      </c>
      <c r="BC67" s="352">
        <v>223.25627647520022</v>
      </c>
      <c r="BD67" s="352">
        <v>262.65444291200026</v>
      </c>
      <c r="BE67" s="352">
        <v>271.27472441851938</v>
      </c>
      <c r="BF67" s="352">
        <v>276.7439728946992</v>
      </c>
      <c r="BG67" s="352">
        <v>308.46561405654217</v>
      </c>
      <c r="BH67" s="352">
        <v>319.27039087101906</v>
      </c>
      <c r="BI67" s="352">
        <v>335.53671130248358</v>
      </c>
      <c r="BJ67" s="352">
        <v>416.25781482922747</v>
      </c>
    </row>
    <row r="68" spans="1:62">
      <c r="A68" s="62" t="s">
        <v>85</v>
      </c>
      <c r="B68" s="333">
        <v>165</v>
      </c>
      <c r="C68" s="45">
        <f t="shared" si="27"/>
        <v>228</v>
      </c>
      <c r="D68" s="45">
        <f t="shared" si="28"/>
        <v>260</v>
      </c>
      <c r="E68" s="45">
        <f t="shared" si="29"/>
        <v>305</v>
      </c>
      <c r="F68" s="45">
        <f t="shared" si="30"/>
        <v>308</v>
      </c>
      <c r="G68" s="45">
        <f t="shared" si="31"/>
        <v>330</v>
      </c>
      <c r="H68" s="45">
        <f t="shared" si="32"/>
        <v>365</v>
      </c>
      <c r="I68" s="45">
        <f t="shared" si="33"/>
        <v>488</v>
      </c>
      <c r="J68" s="113">
        <f t="shared" si="313"/>
        <v>228</v>
      </c>
      <c r="K68" s="113">
        <f t="shared" si="313"/>
        <v>260</v>
      </c>
      <c r="L68" s="113">
        <f t="shared" si="313"/>
        <v>305</v>
      </c>
      <c r="M68" s="234">
        <f t="shared" si="313"/>
        <v>308</v>
      </c>
      <c r="N68" s="113">
        <f t="shared" si="313"/>
        <v>330</v>
      </c>
      <c r="O68" s="113">
        <f t="shared" si="313"/>
        <v>365</v>
      </c>
      <c r="P68" s="237">
        <f t="shared" si="313"/>
        <v>488</v>
      </c>
      <c r="Q68" s="281">
        <f t="shared" si="34"/>
        <v>109.43999999999998</v>
      </c>
      <c r="R68" s="282">
        <f t="shared" si="35"/>
        <v>109.43999999999998</v>
      </c>
      <c r="S68" s="236"/>
      <c r="T68" s="236">
        <v>96.14</v>
      </c>
      <c r="U68" s="236">
        <v>200.3</v>
      </c>
      <c r="V68" s="236">
        <v>227.77</v>
      </c>
      <c r="W68" s="236">
        <v>267.83</v>
      </c>
      <c r="X68" s="236">
        <v>271.17</v>
      </c>
      <c r="Y68" s="236">
        <v>289.98</v>
      </c>
      <c r="Z68" s="236">
        <v>320.97000000000003</v>
      </c>
      <c r="AA68" s="236">
        <v>429.64</v>
      </c>
      <c r="AC68">
        <f t="shared" si="279"/>
        <v>11.4</v>
      </c>
      <c r="AD68">
        <f t="shared" si="273"/>
        <v>13</v>
      </c>
      <c r="AE68">
        <f t="shared" si="274"/>
        <v>15.25</v>
      </c>
      <c r="AF68">
        <f t="shared" si="275"/>
        <v>15.4</v>
      </c>
      <c r="AG68">
        <f t="shared" si="276"/>
        <v>16.5</v>
      </c>
      <c r="AH68">
        <f t="shared" si="277"/>
        <v>18.25</v>
      </c>
      <c r="AI68">
        <f t="shared" si="278"/>
        <v>24.4</v>
      </c>
      <c r="AJ68">
        <f t="shared" si="24"/>
        <v>149</v>
      </c>
      <c r="AL68" s="294">
        <v>96</v>
      </c>
      <c r="AM68" t="str">
        <f t="shared" si="25"/>
        <v>SAN FELIPE</v>
      </c>
      <c r="AN68">
        <f t="shared" si="37"/>
        <v>427</v>
      </c>
      <c r="AO68" s="352">
        <f t="shared" si="38"/>
        <v>378</v>
      </c>
      <c r="AP68" s="352">
        <f t="shared" si="39"/>
        <v>395</v>
      </c>
      <c r="AQ68" s="352">
        <f t="shared" si="40"/>
        <v>137</v>
      </c>
      <c r="AR68" s="282">
        <f t="shared" si="41"/>
        <v>427</v>
      </c>
      <c r="AS68" s="282">
        <f t="shared" si="42"/>
        <v>378</v>
      </c>
      <c r="AT68" s="282">
        <f t="shared" si="43"/>
        <v>395</v>
      </c>
      <c r="AU68" s="282">
        <f t="shared" si="44"/>
        <v>137</v>
      </c>
      <c r="AY68" t="s">
        <v>85</v>
      </c>
      <c r="AZ68">
        <v>165</v>
      </c>
      <c r="BA68" s="352">
        <v>136.71000449485848</v>
      </c>
      <c r="BB68" s="352">
        <v>227.8500074914308</v>
      </c>
      <c r="BC68" s="352">
        <v>259.7490085402311</v>
      </c>
      <c r="BD68" s="352">
        <v>305.31901003851726</v>
      </c>
      <c r="BE68" s="352">
        <v>308.41310462432978</v>
      </c>
      <c r="BF68" s="352">
        <v>330.0361636201315</v>
      </c>
      <c r="BG68" s="352">
        <v>365.31589145538692</v>
      </c>
      <c r="BH68" s="352">
        <v>377.50845748023335</v>
      </c>
      <c r="BI68" s="352">
        <v>395.37536895239896</v>
      </c>
      <c r="BJ68" s="352">
        <v>488.15862013860669</v>
      </c>
    </row>
    <row r="69" spans="1:62" ht="16.5" customHeight="1">
      <c r="A69" s="62" t="s">
        <v>86</v>
      </c>
      <c r="B69" s="333">
        <v>195</v>
      </c>
      <c r="C69" s="45">
        <f t="shared" si="27"/>
        <v>254</v>
      </c>
      <c r="D69" s="45">
        <f t="shared" si="28"/>
        <v>288</v>
      </c>
      <c r="E69" s="45">
        <f t="shared" si="29"/>
        <v>337</v>
      </c>
      <c r="F69" s="45">
        <f t="shared" si="30"/>
        <v>345</v>
      </c>
      <c r="G69" s="45">
        <f t="shared" si="31"/>
        <v>363</v>
      </c>
      <c r="H69" s="45">
        <f t="shared" si="32"/>
        <v>402</v>
      </c>
      <c r="I69" s="45">
        <f t="shared" si="33"/>
        <v>536</v>
      </c>
      <c r="J69" s="113">
        <f t="shared" si="313"/>
        <v>254</v>
      </c>
      <c r="K69" s="113">
        <f t="shared" si="313"/>
        <v>288</v>
      </c>
      <c r="L69" s="113">
        <f t="shared" si="313"/>
        <v>337</v>
      </c>
      <c r="M69" s="234">
        <f t="shared" si="313"/>
        <v>345</v>
      </c>
      <c r="N69" s="113">
        <f t="shared" si="313"/>
        <v>363</v>
      </c>
      <c r="O69" s="113">
        <f t="shared" si="313"/>
        <v>402</v>
      </c>
      <c r="P69" s="237">
        <f t="shared" si="313"/>
        <v>536</v>
      </c>
      <c r="Q69" s="281">
        <f t="shared" si="34"/>
        <v>121.92</v>
      </c>
      <c r="R69" s="282">
        <f t="shared" si="35"/>
        <v>121.92</v>
      </c>
      <c r="S69" s="236"/>
      <c r="T69" s="236">
        <v>105.89</v>
      </c>
      <c r="U69" s="236">
        <v>220.6</v>
      </c>
      <c r="V69" s="236">
        <v>249.62</v>
      </c>
      <c r="W69" s="236">
        <v>292.58</v>
      </c>
      <c r="X69" s="236">
        <v>299.75</v>
      </c>
      <c r="Y69" s="236">
        <v>315.77</v>
      </c>
      <c r="Z69" s="236">
        <v>350.09</v>
      </c>
      <c r="AA69" s="236">
        <v>467.76</v>
      </c>
      <c r="AC69">
        <f t="shared" si="279"/>
        <v>12.7</v>
      </c>
      <c r="AD69">
        <f t="shared" si="273"/>
        <v>14.4</v>
      </c>
      <c r="AE69">
        <f t="shared" si="274"/>
        <v>16.850000000000001</v>
      </c>
      <c r="AF69">
        <f t="shared" si="275"/>
        <v>17.25</v>
      </c>
      <c r="AG69">
        <f t="shared" si="276"/>
        <v>18.149999999999999</v>
      </c>
      <c r="AH69">
        <f t="shared" si="277"/>
        <v>20.100000000000001</v>
      </c>
      <c r="AI69">
        <f t="shared" si="278"/>
        <v>26.8</v>
      </c>
      <c r="AJ69">
        <f t="shared" si="24"/>
        <v>166</v>
      </c>
      <c r="AL69" s="294">
        <v>106.08</v>
      </c>
      <c r="AM69" t="str">
        <f t="shared" si="25"/>
        <v>CHIVACOA</v>
      </c>
      <c r="AN69">
        <f t="shared" si="37"/>
        <v>469</v>
      </c>
      <c r="AO69" s="352">
        <f t="shared" si="38"/>
        <v>416</v>
      </c>
      <c r="AP69" s="352">
        <f t="shared" si="39"/>
        <v>436</v>
      </c>
      <c r="AQ69" s="352">
        <f t="shared" si="40"/>
        <v>153</v>
      </c>
      <c r="AR69" s="282">
        <f t="shared" si="41"/>
        <v>469</v>
      </c>
      <c r="AS69" s="282">
        <f t="shared" si="42"/>
        <v>416</v>
      </c>
      <c r="AT69" s="282">
        <f t="shared" si="43"/>
        <v>436</v>
      </c>
      <c r="AU69" s="282">
        <f t="shared" si="44"/>
        <v>153</v>
      </c>
      <c r="AY69" t="s">
        <v>86</v>
      </c>
      <c r="AZ69">
        <v>195</v>
      </c>
      <c r="BA69" s="352">
        <v>153.0632194286772</v>
      </c>
      <c r="BB69" s="352">
        <v>254.33813153186213</v>
      </c>
      <c r="BC69" s="352">
        <v>287.71281847495715</v>
      </c>
      <c r="BD69" s="352">
        <v>337.19942325264981</v>
      </c>
      <c r="BE69" s="352">
        <v>344.83614208539427</v>
      </c>
      <c r="BF69" s="352">
        <v>363.2274029966153</v>
      </c>
      <c r="BG69" s="352">
        <v>402.30883243296</v>
      </c>
      <c r="BH69" s="352">
        <v>415.68561457456281</v>
      </c>
      <c r="BI69" s="352">
        <v>435.93790668445047</v>
      </c>
      <c r="BJ69" s="352">
        <v>536.40893913786726</v>
      </c>
    </row>
    <row r="70" spans="1:62">
      <c r="A70" s="62" t="s">
        <v>87</v>
      </c>
      <c r="B70" s="333">
        <v>216</v>
      </c>
      <c r="C70" s="45">
        <f t="shared" si="27"/>
        <v>273</v>
      </c>
      <c r="D70" s="45">
        <f t="shared" si="28"/>
        <v>309</v>
      </c>
      <c r="E70" s="45">
        <f t="shared" si="29"/>
        <v>361</v>
      </c>
      <c r="F70" s="45">
        <f t="shared" si="30"/>
        <v>356</v>
      </c>
      <c r="G70" s="45">
        <f t="shared" si="31"/>
        <v>382</v>
      </c>
      <c r="H70" s="45">
        <f t="shared" si="32"/>
        <v>426</v>
      </c>
      <c r="I70" s="45">
        <f t="shared" si="33"/>
        <v>569</v>
      </c>
      <c r="J70" s="113">
        <f t="shared" si="313"/>
        <v>273</v>
      </c>
      <c r="K70" s="113">
        <f t="shared" si="313"/>
        <v>309</v>
      </c>
      <c r="L70" s="113">
        <f t="shared" si="313"/>
        <v>361</v>
      </c>
      <c r="M70" s="234">
        <f t="shared" si="313"/>
        <v>356</v>
      </c>
      <c r="N70" s="113">
        <f t="shared" si="313"/>
        <v>382</v>
      </c>
      <c r="O70" s="113">
        <f t="shared" si="313"/>
        <v>426</v>
      </c>
      <c r="P70" s="237">
        <f t="shared" si="313"/>
        <v>569</v>
      </c>
      <c r="Q70" s="281">
        <f t="shared" si="34"/>
        <v>131.04</v>
      </c>
      <c r="R70" s="282">
        <f t="shared" si="35"/>
        <v>131.04</v>
      </c>
      <c r="S70" s="236"/>
      <c r="T70" s="236">
        <v>113.06</v>
      </c>
      <c r="U70" s="236">
        <v>235.53</v>
      </c>
      <c r="V70" s="236">
        <v>266.52</v>
      </c>
      <c r="W70" s="236">
        <v>312.39</v>
      </c>
      <c r="X70" s="236">
        <v>308.20999999999998</v>
      </c>
      <c r="Y70" s="236">
        <v>330.3</v>
      </c>
      <c r="Z70" s="236">
        <v>367.52</v>
      </c>
      <c r="AA70" s="236">
        <v>492.52</v>
      </c>
      <c r="AC70">
        <f t="shared" si="279"/>
        <v>13.65</v>
      </c>
      <c r="AD70">
        <f t="shared" si="273"/>
        <v>15.45</v>
      </c>
      <c r="AE70">
        <f t="shared" si="274"/>
        <v>18.05</v>
      </c>
      <c r="AF70">
        <f t="shared" si="275"/>
        <v>17.8</v>
      </c>
      <c r="AG70">
        <f t="shared" si="276"/>
        <v>19.100000000000001</v>
      </c>
      <c r="AH70">
        <f t="shared" si="277"/>
        <v>21.3</v>
      </c>
      <c r="AI70">
        <f t="shared" si="278"/>
        <v>28.45</v>
      </c>
      <c r="AJ70">
        <f t="shared" si="24"/>
        <v>178</v>
      </c>
      <c r="AL70" s="294">
        <v>113.28</v>
      </c>
      <c r="AM70" t="str">
        <f t="shared" si="25"/>
        <v>SABANA DE PARRA</v>
      </c>
      <c r="AN70">
        <f t="shared" si="37"/>
        <v>498</v>
      </c>
      <c r="AO70" s="352">
        <f t="shared" si="38"/>
        <v>440</v>
      </c>
      <c r="AP70" s="352">
        <f t="shared" si="39"/>
        <v>461</v>
      </c>
      <c r="AQ70" s="352">
        <f t="shared" si="40"/>
        <v>164</v>
      </c>
      <c r="AR70" s="282">
        <f t="shared" si="41"/>
        <v>498</v>
      </c>
      <c r="AS70" s="282">
        <f t="shared" si="42"/>
        <v>440</v>
      </c>
      <c r="AT70" s="282">
        <f t="shared" si="43"/>
        <v>461</v>
      </c>
      <c r="AU70" s="282">
        <f t="shared" si="44"/>
        <v>164</v>
      </c>
      <c r="AY70" t="s">
        <v>87</v>
      </c>
      <c r="AZ70">
        <v>216</v>
      </c>
      <c r="BA70" s="352">
        <v>164.49359958475708</v>
      </c>
      <c r="BB70" s="352">
        <v>273.38372888734273</v>
      </c>
      <c r="BC70" s="352">
        <v>309.29430344457847</v>
      </c>
      <c r="BD70" s="352">
        <v>361.42255683411412</v>
      </c>
      <c r="BE70" s="352">
        <v>356.31902836209031</v>
      </c>
      <c r="BF70" s="352">
        <v>381.77038753081098</v>
      </c>
      <c r="BG70" s="352">
        <v>425.73182609496496</v>
      </c>
      <c r="BH70" s="352">
        <v>440.2866559901347</v>
      </c>
      <c r="BI70" s="352">
        <v>460.60435625266234</v>
      </c>
      <c r="BJ70" s="352">
        <v>568.55532659361961</v>
      </c>
    </row>
    <row r="71" spans="1:62">
      <c r="A71" s="62" t="s">
        <v>44</v>
      </c>
      <c r="B71" s="333">
        <v>250</v>
      </c>
      <c r="C71" s="45">
        <f t="shared" si="27"/>
        <v>312</v>
      </c>
      <c r="D71" s="45">
        <f t="shared" si="28"/>
        <v>355</v>
      </c>
      <c r="E71" s="45">
        <f t="shared" si="29"/>
        <v>416</v>
      </c>
      <c r="F71" s="45">
        <f t="shared" si="30"/>
        <v>412</v>
      </c>
      <c r="G71" s="45">
        <f t="shared" si="31"/>
        <v>441</v>
      </c>
      <c r="H71" s="45">
        <f t="shared" si="32"/>
        <v>489</v>
      </c>
      <c r="I71" s="45">
        <f t="shared" si="33"/>
        <v>668</v>
      </c>
      <c r="J71" s="113">
        <f t="shared" si="313"/>
        <v>312</v>
      </c>
      <c r="K71" s="113">
        <f t="shared" si="313"/>
        <v>355</v>
      </c>
      <c r="L71" s="113">
        <f t="shared" si="313"/>
        <v>416</v>
      </c>
      <c r="M71" s="234">
        <f t="shared" si="313"/>
        <v>412</v>
      </c>
      <c r="N71" s="113">
        <f t="shared" si="313"/>
        <v>441</v>
      </c>
      <c r="O71" s="113">
        <f t="shared" si="313"/>
        <v>489</v>
      </c>
      <c r="P71" s="237">
        <f t="shared" si="313"/>
        <v>668</v>
      </c>
      <c r="Q71" s="281">
        <f t="shared" si="34"/>
        <v>149.76</v>
      </c>
      <c r="R71" s="282">
        <f t="shared" si="35"/>
        <v>149.76</v>
      </c>
      <c r="S71" s="236"/>
      <c r="T71" s="236">
        <v>129.25</v>
      </c>
      <c r="U71" s="236">
        <v>269.27</v>
      </c>
      <c r="V71" s="236">
        <v>306.10000000000002</v>
      </c>
      <c r="W71" s="236">
        <v>359.45</v>
      </c>
      <c r="X71" s="236">
        <v>355.98</v>
      </c>
      <c r="Y71" s="236">
        <v>381.07</v>
      </c>
      <c r="Z71" s="236">
        <v>422.88</v>
      </c>
      <c r="AA71" s="236">
        <v>578.88</v>
      </c>
      <c r="AC71">
        <f t="shared" si="279"/>
        <v>15.6</v>
      </c>
      <c r="AD71">
        <f t="shared" si="273"/>
        <v>17.75</v>
      </c>
      <c r="AE71">
        <f t="shared" si="274"/>
        <v>20.8</v>
      </c>
      <c r="AF71">
        <f t="shared" si="275"/>
        <v>20.6</v>
      </c>
      <c r="AG71">
        <f t="shared" si="276"/>
        <v>22.05</v>
      </c>
      <c r="AH71">
        <f t="shared" si="277"/>
        <v>24.45</v>
      </c>
      <c r="AI71">
        <f t="shared" si="278"/>
        <v>33.4</v>
      </c>
      <c r="AJ71">
        <f t="shared" si="24"/>
        <v>204</v>
      </c>
      <c r="AL71" s="294">
        <v>129.12</v>
      </c>
      <c r="AM71" t="str">
        <f t="shared" si="25"/>
        <v>BARQUISIMETO</v>
      </c>
      <c r="AN71">
        <f t="shared" si="37"/>
        <v>579</v>
      </c>
      <c r="AO71" s="352">
        <f t="shared" si="38"/>
        <v>507</v>
      </c>
      <c r="AP71" s="352">
        <f t="shared" si="39"/>
        <v>533</v>
      </c>
      <c r="AQ71" s="352">
        <f t="shared" si="40"/>
        <v>187</v>
      </c>
      <c r="AR71" s="282">
        <f t="shared" si="41"/>
        <v>579</v>
      </c>
      <c r="AS71" s="282">
        <f t="shared" si="42"/>
        <v>507</v>
      </c>
      <c r="AT71" s="282">
        <f t="shared" si="43"/>
        <v>533</v>
      </c>
      <c r="AU71" s="282">
        <f t="shared" si="44"/>
        <v>187</v>
      </c>
      <c r="AY71" t="s">
        <v>44</v>
      </c>
      <c r="AZ71">
        <v>250</v>
      </c>
      <c r="BA71" s="352">
        <v>186.54032990379872</v>
      </c>
      <c r="BB71" s="352">
        <v>311.67297356597425</v>
      </c>
      <c r="BC71" s="352">
        <v>354.54249037616404</v>
      </c>
      <c r="BD71" s="352">
        <v>415.95017661778724</v>
      </c>
      <c r="BE71" s="352">
        <v>411.92715372244862</v>
      </c>
      <c r="BF71" s="352">
        <v>440.85462238273294</v>
      </c>
      <c r="BG71" s="352">
        <v>489.45276973201055</v>
      </c>
      <c r="BH71" s="352">
        <v>507.40335228733966</v>
      </c>
      <c r="BI71" s="352">
        <v>533.4243692908409</v>
      </c>
      <c r="BJ71" s="352">
        <v>667.85142474412396</v>
      </c>
    </row>
    <row r="72" spans="1:62">
      <c r="A72" s="62" t="s">
        <v>88</v>
      </c>
      <c r="B72" s="333">
        <v>287</v>
      </c>
      <c r="C72" s="45">
        <f t="shared" si="27"/>
        <v>336</v>
      </c>
      <c r="D72" s="45">
        <f t="shared" si="28"/>
        <v>382</v>
      </c>
      <c r="E72" s="45">
        <f t="shared" si="29"/>
        <v>450</v>
      </c>
      <c r="F72" s="45">
        <f t="shared" si="30"/>
        <v>442</v>
      </c>
      <c r="G72" s="45">
        <f t="shared" si="31"/>
        <v>475</v>
      </c>
      <c r="H72" s="45">
        <f t="shared" si="32"/>
        <v>527</v>
      </c>
      <c r="I72" s="45">
        <f t="shared" si="33"/>
        <v>707</v>
      </c>
      <c r="J72" s="113">
        <f t="shared" si="313"/>
        <v>336</v>
      </c>
      <c r="K72" s="113">
        <f t="shared" si="313"/>
        <v>382</v>
      </c>
      <c r="L72" s="113">
        <f t="shared" si="313"/>
        <v>450</v>
      </c>
      <c r="M72" s="234">
        <f t="shared" si="313"/>
        <v>442</v>
      </c>
      <c r="N72" s="113">
        <f t="shared" si="313"/>
        <v>475</v>
      </c>
      <c r="O72" s="113">
        <f t="shared" si="313"/>
        <v>527</v>
      </c>
      <c r="P72" s="237">
        <f t="shared" si="313"/>
        <v>707</v>
      </c>
      <c r="Q72" s="281">
        <f t="shared" si="34"/>
        <v>161.28</v>
      </c>
      <c r="R72" s="282">
        <f t="shared" si="35"/>
        <v>161.28</v>
      </c>
      <c r="S72" s="236"/>
      <c r="T72" s="236">
        <v>137.77000000000001</v>
      </c>
      <c r="U72" s="236">
        <v>287.02</v>
      </c>
      <c r="V72" s="236">
        <v>325.63</v>
      </c>
      <c r="W72" s="236">
        <v>383.55</v>
      </c>
      <c r="X72" s="236">
        <v>378.46</v>
      </c>
      <c r="Y72" s="236">
        <v>406.36</v>
      </c>
      <c r="Z72" s="236">
        <v>451.24</v>
      </c>
      <c r="AA72" s="236">
        <v>607.24</v>
      </c>
      <c r="AC72">
        <f t="shared" si="279"/>
        <v>16.8</v>
      </c>
      <c r="AD72">
        <f t="shared" si="273"/>
        <v>19.100000000000001</v>
      </c>
      <c r="AE72">
        <f t="shared" si="274"/>
        <v>22.5</v>
      </c>
      <c r="AF72">
        <f t="shared" si="275"/>
        <v>22.1</v>
      </c>
      <c r="AG72">
        <f t="shared" si="276"/>
        <v>23.75</v>
      </c>
      <c r="AH72">
        <f t="shared" si="277"/>
        <v>26.35</v>
      </c>
      <c r="AI72">
        <f t="shared" si="278"/>
        <v>35.35</v>
      </c>
      <c r="AJ72">
        <f t="shared" si="24"/>
        <v>220</v>
      </c>
      <c r="AL72" s="294">
        <v>137.76</v>
      </c>
      <c r="AM72" t="str">
        <f t="shared" si="25"/>
        <v>QUIBOR</v>
      </c>
      <c r="AN72">
        <f t="shared" si="37"/>
        <v>617</v>
      </c>
      <c r="AO72" s="352">
        <f t="shared" si="38"/>
        <v>546</v>
      </c>
      <c r="AP72" s="352">
        <f t="shared" si="39"/>
        <v>572</v>
      </c>
      <c r="AQ72" s="352">
        <f t="shared" si="40"/>
        <v>201</v>
      </c>
      <c r="AR72" s="282">
        <f t="shared" si="41"/>
        <v>617</v>
      </c>
      <c r="AS72" s="282">
        <f t="shared" si="42"/>
        <v>546</v>
      </c>
      <c r="AT72" s="282">
        <f t="shared" si="43"/>
        <v>572</v>
      </c>
      <c r="AU72" s="282">
        <f t="shared" si="44"/>
        <v>201</v>
      </c>
      <c r="AY72" t="s">
        <v>88</v>
      </c>
      <c r="AZ72">
        <v>287</v>
      </c>
      <c r="BA72" s="352">
        <v>201.47962759685171</v>
      </c>
      <c r="BB72" s="352">
        <v>336.18984372265373</v>
      </c>
      <c r="BC72" s="352">
        <v>381.87417788705613</v>
      </c>
      <c r="BD72" s="352">
        <v>449.81498254180849</v>
      </c>
      <c r="BE72" s="352">
        <v>442.11364294540272</v>
      </c>
      <c r="BF72" s="352">
        <v>474.86280168209925</v>
      </c>
      <c r="BG72" s="352">
        <v>527.49537822321849</v>
      </c>
      <c r="BH72" s="352">
        <v>545.51385616798268</v>
      </c>
      <c r="BI72" s="352">
        <v>571.68682812930263</v>
      </c>
      <c r="BJ72" s="352">
        <v>707.38447353726656</v>
      </c>
    </row>
    <row r="73" spans="1:62" ht="16.5" customHeight="1">
      <c r="A73" s="62" t="s">
        <v>283</v>
      </c>
      <c r="B73" s="333">
        <v>339</v>
      </c>
      <c r="C73" s="45">
        <f t="shared" si="27"/>
        <v>412</v>
      </c>
      <c r="D73" s="45">
        <f t="shared" si="28"/>
        <v>466</v>
      </c>
      <c r="E73" s="45">
        <f t="shared" si="29"/>
        <v>548</v>
      </c>
      <c r="F73" s="45">
        <f t="shared" si="30"/>
        <v>542</v>
      </c>
      <c r="G73" s="45">
        <f t="shared" si="31"/>
        <v>580</v>
      </c>
      <c r="H73" s="45">
        <f t="shared" si="32"/>
        <v>644</v>
      </c>
      <c r="I73" s="45">
        <f t="shared" si="33"/>
        <v>878</v>
      </c>
      <c r="J73" s="113">
        <f t="shared" si="313"/>
        <v>412</v>
      </c>
      <c r="K73" s="113">
        <f t="shared" si="313"/>
        <v>466</v>
      </c>
      <c r="L73" s="113">
        <f t="shared" si="313"/>
        <v>548</v>
      </c>
      <c r="M73" s="234">
        <f t="shared" si="313"/>
        <v>542</v>
      </c>
      <c r="N73" s="113">
        <f t="shared" si="313"/>
        <v>580</v>
      </c>
      <c r="O73" s="113">
        <f t="shared" si="313"/>
        <v>644</v>
      </c>
      <c r="P73" s="237">
        <f t="shared" si="313"/>
        <v>878</v>
      </c>
      <c r="Q73" s="281">
        <f t="shared" si="34"/>
        <v>197.76</v>
      </c>
      <c r="R73" s="282">
        <f t="shared" si="35"/>
        <v>197.76</v>
      </c>
      <c r="S73" s="236"/>
      <c r="T73" s="236">
        <v>169.99</v>
      </c>
      <c r="U73" s="236">
        <v>354.15</v>
      </c>
      <c r="V73" s="236">
        <v>400.41</v>
      </c>
      <c r="W73" s="236">
        <v>471.24</v>
      </c>
      <c r="X73" s="236">
        <v>466.08</v>
      </c>
      <c r="Y73" s="236">
        <v>498.69</v>
      </c>
      <c r="Z73" s="236">
        <v>554.4</v>
      </c>
      <c r="AA73" s="236">
        <v>758.4</v>
      </c>
      <c r="AC73">
        <f t="shared" si="279"/>
        <v>20.6</v>
      </c>
      <c r="AD73">
        <f t="shared" si="273"/>
        <v>23.3</v>
      </c>
      <c r="AE73">
        <f t="shared" si="274"/>
        <v>27.4</v>
      </c>
      <c r="AF73">
        <f t="shared" si="275"/>
        <v>27.1</v>
      </c>
      <c r="AG73">
        <f t="shared" si="276"/>
        <v>29</v>
      </c>
      <c r="AH73">
        <f t="shared" si="277"/>
        <v>32.200000000000003</v>
      </c>
      <c r="AI73">
        <f t="shared" si="278"/>
        <v>43.9</v>
      </c>
      <c r="AJ73">
        <f t="shared" si="24"/>
        <v>269</v>
      </c>
      <c r="AL73" s="294">
        <v>169.92000000000002</v>
      </c>
      <c r="AM73" t="str">
        <f t="shared" si="25"/>
        <v>SIQUISIQUE</v>
      </c>
      <c r="AN73">
        <f t="shared" si="37"/>
        <v>761</v>
      </c>
      <c r="AO73" s="352">
        <f t="shared" si="38"/>
        <v>667</v>
      </c>
      <c r="AP73" s="352">
        <f t="shared" si="39"/>
        <v>702</v>
      </c>
      <c r="AQ73" s="352">
        <f t="shared" si="40"/>
        <v>247</v>
      </c>
      <c r="AR73" s="282">
        <f t="shared" si="41"/>
        <v>761</v>
      </c>
      <c r="AS73" s="282">
        <f t="shared" si="42"/>
        <v>667</v>
      </c>
      <c r="AT73" s="282">
        <f t="shared" si="43"/>
        <v>702</v>
      </c>
      <c r="AU73" s="282">
        <f t="shared" si="44"/>
        <v>247</v>
      </c>
      <c r="AY73" t="s">
        <v>283</v>
      </c>
      <c r="AZ73">
        <v>339</v>
      </c>
      <c r="BA73" s="352">
        <v>246.82206741081231</v>
      </c>
      <c r="BB73" s="352">
        <v>412.14628237465831</v>
      </c>
      <c r="BC73" s="352">
        <v>465.70201398266477</v>
      </c>
      <c r="BD73" s="352">
        <v>548.3641214645877</v>
      </c>
      <c r="BE73" s="352">
        <v>541.77674512490864</v>
      </c>
      <c r="BF73" s="352">
        <v>580.14290947924758</v>
      </c>
      <c r="BG73" s="352">
        <v>644.08651673647933</v>
      </c>
      <c r="BH73" s="352">
        <v>666.55029160983975</v>
      </c>
      <c r="BI73" s="352">
        <v>701.75836517633957</v>
      </c>
      <c r="BJ73" s="352">
        <v>878.3017783404789</v>
      </c>
    </row>
    <row r="74" spans="1:62">
      <c r="A74" s="62" t="s">
        <v>376</v>
      </c>
      <c r="B74" s="333">
        <v>352</v>
      </c>
      <c r="C74" s="45">
        <f t="shared" si="27"/>
        <v>418</v>
      </c>
      <c r="D74" s="45">
        <f t="shared" si="28"/>
        <v>474</v>
      </c>
      <c r="E74" s="45">
        <f t="shared" si="29"/>
        <v>557</v>
      </c>
      <c r="F74" s="45">
        <f t="shared" si="30"/>
        <v>555</v>
      </c>
      <c r="G74" s="45">
        <f t="shared" si="31"/>
        <v>595</v>
      </c>
      <c r="H74" s="45">
        <f t="shared" si="32"/>
        <v>661</v>
      </c>
      <c r="I74" s="45">
        <f t="shared" si="33"/>
        <v>891</v>
      </c>
      <c r="J74" s="113">
        <f t="shared" si="313"/>
        <v>418</v>
      </c>
      <c r="K74" s="113">
        <f t="shared" si="313"/>
        <v>474</v>
      </c>
      <c r="L74" s="113">
        <f t="shared" si="313"/>
        <v>557</v>
      </c>
      <c r="M74" s="234">
        <f t="shared" si="313"/>
        <v>555</v>
      </c>
      <c r="N74" s="113">
        <f t="shared" si="313"/>
        <v>595</v>
      </c>
      <c r="O74" s="113">
        <f t="shared" si="313"/>
        <v>661</v>
      </c>
      <c r="P74" s="237">
        <f t="shared" si="313"/>
        <v>891</v>
      </c>
      <c r="Q74" s="281">
        <f t="shared" si="34"/>
        <v>200.64</v>
      </c>
      <c r="R74" s="282">
        <f t="shared" si="35"/>
        <v>200.64</v>
      </c>
      <c r="S74" s="236"/>
      <c r="T74" s="236">
        <v>171.67</v>
      </c>
      <c r="U74" s="236">
        <v>357.64</v>
      </c>
      <c r="V74" s="236">
        <v>405.89</v>
      </c>
      <c r="W74" s="236">
        <v>476.85</v>
      </c>
      <c r="X74" s="236">
        <v>476.45</v>
      </c>
      <c r="Y74" s="236">
        <v>510.19</v>
      </c>
      <c r="Z74" s="236">
        <v>566.88</v>
      </c>
      <c r="AA74" s="236">
        <v>766.88</v>
      </c>
      <c r="AC74">
        <f t="shared" si="279"/>
        <v>20.9</v>
      </c>
      <c r="AD74">
        <f t="shared" si="273"/>
        <v>23.7</v>
      </c>
      <c r="AE74">
        <f t="shared" si="274"/>
        <v>27.85</v>
      </c>
      <c r="AF74">
        <f t="shared" si="275"/>
        <v>27.75</v>
      </c>
      <c r="AG74">
        <f t="shared" si="276"/>
        <v>29.75</v>
      </c>
      <c r="AH74">
        <f t="shared" si="277"/>
        <v>33.049999999999997</v>
      </c>
      <c r="AI74">
        <f t="shared" si="278"/>
        <v>44.55</v>
      </c>
      <c r="AJ74">
        <f t="shared" si="24"/>
        <v>273</v>
      </c>
      <c r="AL74" s="294">
        <v>171.83999999999997</v>
      </c>
      <c r="AM74" t="str">
        <f t="shared" si="25"/>
        <v>CARORA</v>
      </c>
      <c r="AN74">
        <f t="shared" si="37"/>
        <v>776</v>
      </c>
      <c r="AO74" s="352">
        <f t="shared" si="38"/>
        <v>683</v>
      </c>
      <c r="AP74" s="352">
        <f t="shared" si="39"/>
        <v>718</v>
      </c>
      <c r="AQ74" s="352">
        <f t="shared" si="40"/>
        <v>251</v>
      </c>
      <c r="AR74" s="282">
        <f t="shared" si="41"/>
        <v>776</v>
      </c>
      <c r="AS74" s="282">
        <f t="shared" si="42"/>
        <v>683</v>
      </c>
      <c r="AT74" s="282">
        <f t="shared" si="43"/>
        <v>718</v>
      </c>
      <c r="AU74" s="282">
        <f t="shared" si="44"/>
        <v>251</v>
      </c>
      <c r="AY74" t="s">
        <v>89</v>
      </c>
      <c r="AZ74">
        <v>352</v>
      </c>
      <c r="BA74" s="352">
        <v>251.01590094286053</v>
      </c>
      <c r="BB74" s="352">
        <v>417.97066296532125</v>
      </c>
      <c r="BC74" s="352">
        <v>474.01142224558771</v>
      </c>
      <c r="BD74" s="352">
        <v>556.90504534764864</v>
      </c>
      <c r="BE74" s="352">
        <v>554.91947385031119</v>
      </c>
      <c r="BF74" s="352">
        <v>594.55657912533343</v>
      </c>
      <c r="BG74" s="352">
        <v>661.0070203216942</v>
      </c>
      <c r="BH74" s="352">
        <v>683.48922908557142</v>
      </c>
      <c r="BI74" s="352">
        <v>717.5866307827298</v>
      </c>
      <c r="BJ74" s="352">
        <v>891.06839152326609</v>
      </c>
    </row>
    <row r="75" spans="1:62">
      <c r="A75" s="62" t="s">
        <v>375</v>
      </c>
      <c r="B75" s="333">
        <v>352</v>
      </c>
      <c r="C75" s="45">
        <f t="shared" ref="C75" si="347">ROUND(BB75,0)</f>
        <v>418</v>
      </c>
      <c r="D75" s="45">
        <f t="shared" ref="D75" si="348">ROUND(BC75,0)</f>
        <v>474</v>
      </c>
      <c r="E75" s="45">
        <f t="shared" ref="E75" si="349">ROUND(BD75,0)</f>
        <v>557</v>
      </c>
      <c r="F75" s="45">
        <f t="shared" ref="F75" si="350">ROUND(BE75,0)</f>
        <v>555</v>
      </c>
      <c r="G75" s="45">
        <f t="shared" ref="G75" si="351">ROUND(BF75,0)</f>
        <v>595</v>
      </c>
      <c r="H75" s="45">
        <f t="shared" ref="H75" si="352">ROUND(BG75,0)</f>
        <v>661</v>
      </c>
      <c r="I75" s="45">
        <f t="shared" ref="I75" si="353">ROUND(BJ75,0)</f>
        <v>891</v>
      </c>
      <c r="J75" s="113">
        <f t="shared" ref="J75" si="354">C75*$M$1</f>
        <v>418</v>
      </c>
      <c r="K75" s="113">
        <f t="shared" ref="K75" si="355">D75*$M$1</f>
        <v>474</v>
      </c>
      <c r="L75" s="113">
        <f t="shared" ref="L75" si="356">E75*$M$1</f>
        <v>557</v>
      </c>
      <c r="M75" s="234">
        <f t="shared" ref="M75" si="357">F75*$M$1</f>
        <v>555</v>
      </c>
      <c r="N75" s="113">
        <f t="shared" ref="N75" si="358">G75*$M$1</f>
        <v>595</v>
      </c>
      <c r="O75" s="113">
        <f t="shared" ref="O75" si="359">H75*$M$1</f>
        <v>661</v>
      </c>
      <c r="P75" s="237">
        <f t="shared" ref="P75" si="360">I75*$M$1</f>
        <v>891</v>
      </c>
      <c r="Q75" s="281">
        <f t="shared" ref="Q75" si="361">1.2*C75/2.5</f>
        <v>200.64</v>
      </c>
      <c r="R75" s="282">
        <f t="shared" ref="R75" si="362">Q75*$M$1</f>
        <v>200.64</v>
      </c>
      <c r="S75" s="236"/>
      <c r="T75" s="236">
        <v>171.67</v>
      </c>
      <c r="U75" s="236">
        <v>357.64</v>
      </c>
      <c r="V75" s="236">
        <v>405.89</v>
      </c>
      <c r="W75" s="236">
        <v>476.85</v>
      </c>
      <c r="X75" s="236">
        <v>476.45</v>
      </c>
      <c r="Y75" s="236">
        <v>510.19</v>
      </c>
      <c r="Z75" s="236">
        <v>566.88</v>
      </c>
      <c r="AA75" s="236">
        <v>766.88</v>
      </c>
      <c r="AC75">
        <f t="shared" ref="AC75" si="363">C75/($B$16*2)</f>
        <v>20.9</v>
      </c>
      <c r="AD75">
        <f t="shared" ref="AD75" si="364">D75/($B$16*2)</f>
        <v>23.7</v>
      </c>
      <c r="AE75">
        <f t="shared" ref="AE75" si="365">E75/($B$16*2)</f>
        <v>27.85</v>
      </c>
      <c r="AF75">
        <f t="shared" ref="AF75" si="366">F75/($B$16*2)</f>
        <v>27.75</v>
      </c>
      <c r="AG75">
        <f t="shared" ref="AG75" si="367">G75/($B$16*2)</f>
        <v>29.75</v>
      </c>
      <c r="AH75">
        <f t="shared" ref="AH75" si="368">H75/($B$16*2)</f>
        <v>33.049999999999997</v>
      </c>
      <c r="AI75">
        <f t="shared" ref="AI75" si="369">I75/($B$16*2)</f>
        <v>44.55</v>
      </c>
      <c r="AJ75">
        <f t="shared" ref="AJ75" si="370">ROUND(((Q75-C75)/(2.5-1))+C75,0)</f>
        <v>273</v>
      </c>
      <c r="AL75" s="354">
        <v>171.83999999999997</v>
      </c>
      <c r="AM75" t="str">
        <f t="shared" ref="AM75" si="371">A75</f>
        <v>EL TOCUYO</v>
      </c>
      <c r="AN75">
        <f t="shared" ref="AN75" si="372">ROUND(H75+((20-10)/(30-10)*(I75-H75)),0)</f>
        <v>776</v>
      </c>
      <c r="AO75" s="352">
        <f t="shared" ref="AO75" si="373">ROUND(BH75,0)</f>
        <v>683</v>
      </c>
      <c r="AP75" s="352">
        <f t="shared" ref="AP75" si="374">ROUND(BI75,0)</f>
        <v>718</v>
      </c>
      <c r="AQ75" s="352">
        <f t="shared" ref="AQ75" si="375">ROUND(BA75,0)</f>
        <v>251</v>
      </c>
      <c r="AR75" s="282">
        <f t="shared" ref="AR75" si="376">AN75*$M$1</f>
        <v>776</v>
      </c>
      <c r="AS75" s="282">
        <f t="shared" ref="AS75" si="377">AO75*$M$1</f>
        <v>683</v>
      </c>
      <c r="AT75" s="282">
        <f t="shared" ref="AT75" si="378">AP75*$M$1</f>
        <v>718</v>
      </c>
      <c r="AU75" s="282">
        <f t="shared" ref="AU75" si="379">AQ75*$M$1</f>
        <v>251</v>
      </c>
      <c r="AY75" t="s">
        <v>89</v>
      </c>
      <c r="AZ75">
        <v>352</v>
      </c>
      <c r="BA75" s="352">
        <v>251.01590094286053</v>
      </c>
      <c r="BB75" s="352">
        <v>417.97066296532125</v>
      </c>
      <c r="BC75" s="352">
        <v>474.01142224558771</v>
      </c>
      <c r="BD75" s="352">
        <v>556.90504534764864</v>
      </c>
      <c r="BE75" s="352">
        <v>554.91947385031119</v>
      </c>
      <c r="BF75" s="352">
        <v>594.55657912533343</v>
      </c>
      <c r="BG75" s="352">
        <v>661.0070203216942</v>
      </c>
      <c r="BH75" s="352">
        <v>683.48922908557142</v>
      </c>
      <c r="BI75" s="352">
        <v>717.5866307827298</v>
      </c>
      <c r="BJ75" s="352">
        <v>891.06839152326609</v>
      </c>
    </row>
    <row r="76" spans="1:62">
      <c r="A76" s="42" t="s">
        <v>90</v>
      </c>
      <c r="B76" s="335"/>
      <c r="C76" s="45">
        <f t="shared" si="27"/>
        <v>0</v>
      </c>
      <c r="D76" s="45">
        <f t="shared" si="28"/>
        <v>0</v>
      </c>
      <c r="E76" s="45">
        <f t="shared" si="29"/>
        <v>0</v>
      </c>
      <c r="F76" s="45">
        <f t="shared" si="30"/>
        <v>0</v>
      </c>
      <c r="G76" s="45">
        <f t="shared" si="31"/>
        <v>0</v>
      </c>
      <c r="H76" s="45">
        <f t="shared" si="32"/>
        <v>0</v>
      </c>
      <c r="I76" s="45">
        <f t="shared" si="33"/>
        <v>0</v>
      </c>
      <c r="J76" s="243"/>
      <c r="K76" s="243"/>
      <c r="L76" s="243"/>
      <c r="M76" s="244"/>
      <c r="N76" s="243"/>
      <c r="O76" s="243"/>
      <c r="P76" s="245"/>
      <c r="Q76" s="245"/>
      <c r="R76" s="245"/>
      <c r="S76" s="236"/>
      <c r="T76" s="245"/>
      <c r="U76" s="245"/>
      <c r="V76" s="245"/>
      <c r="W76" s="245"/>
      <c r="X76" s="245"/>
      <c r="Y76" s="245"/>
      <c r="Z76" s="245"/>
      <c r="AA76" s="245"/>
      <c r="AC76">
        <f t="shared" si="279"/>
        <v>0</v>
      </c>
      <c r="AD76">
        <f t="shared" si="273"/>
        <v>0</v>
      </c>
      <c r="AE76">
        <f t="shared" si="274"/>
        <v>0</v>
      </c>
      <c r="AF76">
        <f t="shared" si="275"/>
        <v>0</v>
      </c>
      <c r="AG76">
        <f t="shared" si="276"/>
        <v>0</v>
      </c>
      <c r="AH76">
        <f t="shared" si="277"/>
        <v>0</v>
      </c>
      <c r="AI76">
        <f t="shared" si="278"/>
        <v>0</v>
      </c>
      <c r="AJ76">
        <f t="shared" si="24"/>
        <v>0</v>
      </c>
      <c r="AL76" s="294"/>
      <c r="AM76" t="str">
        <f t="shared" si="25"/>
        <v>Región Andina</v>
      </c>
      <c r="AN76">
        <f t="shared" si="37"/>
        <v>0</v>
      </c>
      <c r="AO76" s="352">
        <f t="shared" si="38"/>
        <v>0</v>
      </c>
      <c r="AP76" s="352">
        <f t="shared" si="39"/>
        <v>0</v>
      </c>
      <c r="AQ76" s="352">
        <f t="shared" si="40"/>
        <v>0</v>
      </c>
      <c r="AR76" s="282">
        <f t="shared" si="41"/>
        <v>0</v>
      </c>
      <c r="AS76" s="282">
        <f t="shared" si="42"/>
        <v>0</v>
      </c>
      <c r="AT76" s="282">
        <f t="shared" si="43"/>
        <v>0</v>
      </c>
      <c r="AU76" s="282">
        <f t="shared" si="44"/>
        <v>0</v>
      </c>
    </row>
    <row r="77" spans="1:62">
      <c r="A77" s="62" t="s">
        <v>91</v>
      </c>
      <c r="B77" s="333">
        <v>419</v>
      </c>
      <c r="C77" s="45">
        <f t="shared" si="27"/>
        <v>512</v>
      </c>
      <c r="D77" s="45">
        <f t="shared" si="28"/>
        <v>580</v>
      </c>
      <c r="E77" s="45">
        <f t="shared" si="29"/>
        <v>682</v>
      </c>
      <c r="F77" s="45">
        <f t="shared" si="30"/>
        <v>679</v>
      </c>
      <c r="G77" s="45">
        <f t="shared" si="31"/>
        <v>726</v>
      </c>
      <c r="H77" s="45">
        <f t="shared" si="32"/>
        <v>809</v>
      </c>
      <c r="I77" s="45">
        <f t="shared" si="33"/>
        <v>1095</v>
      </c>
      <c r="J77" s="113">
        <f t="shared" ref="J77:J86" si="380">C77*$M$1</f>
        <v>512</v>
      </c>
      <c r="K77" s="113">
        <f t="shared" ref="K77:K86" si="381">D77*$M$1</f>
        <v>580</v>
      </c>
      <c r="L77" s="113">
        <f t="shared" ref="L77:L86" si="382">E77*$M$1</f>
        <v>682</v>
      </c>
      <c r="M77" s="234">
        <f t="shared" ref="M77:M86" si="383">F77*$M$1</f>
        <v>679</v>
      </c>
      <c r="N77" s="113">
        <f t="shared" ref="N77:N86" si="384">G77*$M$1</f>
        <v>726</v>
      </c>
      <c r="O77" s="113">
        <f t="shared" ref="O77:O86" si="385">H77*$M$1</f>
        <v>809</v>
      </c>
      <c r="P77" s="237">
        <f t="shared" ref="P77:P86" si="386">I77*$M$1</f>
        <v>1095</v>
      </c>
      <c r="Q77" s="281">
        <f t="shared" si="34"/>
        <v>245.76</v>
      </c>
      <c r="R77" s="282">
        <f t="shared" si="35"/>
        <v>245.76</v>
      </c>
      <c r="S77" s="236"/>
      <c r="T77" s="236">
        <v>211.6</v>
      </c>
      <c r="U77" s="236">
        <v>440.83</v>
      </c>
      <c r="V77" s="236">
        <v>498.75</v>
      </c>
      <c r="W77" s="236">
        <v>587.24</v>
      </c>
      <c r="X77" s="236">
        <v>585.21</v>
      </c>
      <c r="Y77" s="236">
        <v>626.46</v>
      </c>
      <c r="Z77" s="236">
        <v>696.75</v>
      </c>
      <c r="AA77" s="236">
        <v>947.21</v>
      </c>
      <c r="AC77">
        <f t="shared" si="279"/>
        <v>25.6</v>
      </c>
      <c r="AD77">
        <f t="shared" si="273"/>
        <v>29</v>
      </c>
      <c r="AE77">
        <f t="shared" si="274"/>
        <v>34.1</v>
      </c>
      <c r="AF77">
        <f t="shared" si="275"/>
        <v>33.950000000000003</v>
      </c>
      <c r="AG77">
        <f t="shared" si="276"/>
        <v>36.299999999999997</v>
      </c>
      <c r="AH77">
        <f t="shared" si="277"/>
        <v>40.450000000000003</v>
      </c>
      <c r="AI77">
        <f t="shared" si="278"/>
        <v>54.75</v>
      </c>
      <c r="AJ77">
        <f t="shared" si="24"/>
        <v>335</v>
      </c>
      <c r="AL77" s="294">
        <v>211.67999999999998</v>
      </c>
      <c r="AM77" t="str">
        <f t="shared" si="25"/>
        <v>BOCONO</v>
      </c>
      <c r="AN77">
        <f t="shared" si="37"/>
        <v>952</v>
      </c>
      <c r="AO77" s="352">
        <f t="shared" si="38"/>
        <v>837</v>
      </c>
      <c r="AP77" s="352">
        <f t="shared" si="39"/>
        <v>880</v>
      </c>
      <c r="AQ77" s="352">
        <f t="shared" si="40"/>
        <v>308</v>
      </c>
      <c r="AR77" s="282">
        <f t="shared" si="41"/>
        <v>952</v>
      </c>
      <c r="AS77" s="282">
        <f t="shared" si="42"/>
        <v>837</v>
      </c>
      <c r="AT77" s="282">
        <f t="shared" si="43"/>
        <v>880</v>
      </c>
      <c r="AU77" s="282">
        <f t="shared" si="44"/>
        <v>308</v>
      </c>
      <c r="AY77" t="s">
        <v>91</v>
      </c>
      <c r="AZ77">
        <v>419</v>
      </c>
      <c r="BA77" s="352">
        <v>307.92068720566766</v>
      </c>
      <c r="BB77" s="352">
        <v>512.42650210452609</v>
      </c>
      <c r="BC77" s="352">
        <v>579.82046383255908</v>
      </c>
      <c r="BD77" s="352">
        <v>682.07337128198833</v>
      </c>
      <c r="BE77" s="352">
        <v>678.80878843352843</v>
      </c>
      <c r="BF77" s="352">
        <v>726.38342146904074</v>
      </c>
      <c r="BG77" s="352">
        <v>808.76876160370819</v>
      </c>
      <c r="BH77" s="352">
        <v>836.81670932942484</v>
      </c>
      <c r="BI77" s="352">
        <v>879.89729164463745</v>
      </c>
      <c r="BJ77" s="352">
        <v>1095.2750345932957</v>
      </c>
    </row>
    <row r="78" spans="1:62" ht="16.5" customHeight="1">
      <c r="A78" s="62" t="s">
        <v>377</v>
      </c>
      <c r="B78" s="333">
        <v>476</v>
      </c>
      <c r="C78" s="45">
        <f t="shared" si="27"/>
        <v>576</v>
      </c>
      <c r="D78" s="45">
        <f t="shared" si="28"/>
        <v>653</v>
      </c>
      <c r="E78" s="45">
        <f t="shared" si="29"/>
        <v>768</v>
      </c>
      <c r="F78" s="45">
        <f t="shared" si="30"/>
        <v>764</v>
      </c>
      <c r="G78" s="45">
        <f t="shared" si="31"/>
        <v>820</v>
      </c>
      <c r="H78" s="45">
        <f t="shared" si="32"/>
        <v>910</v>
      </c>
      <c r="I78" s="45">
        <f t="shared" si="33"/>
        <v>1222</v>
      </c>
      <c r="J78" s="113">
        <f t="shared" si="380"/>
        <v>576</v>
      </c>
      <c r="K78" s="113">
        <f t="shared" si="381"/>
        <v>653</v>
      </c>
      <c r="L78" s="113">
        <f t="shared" si="382"/>
        <v>768</v>
      </c>
      <c r="M78" s="234">
        <f t="shared" si="383"/>
        <v>764</v>
      </c>
      <c r="N78" s="113">
        <f t="shared" si="384"/>
        <v>820</v>
      </c>
      <c r="O78" s="113">
        <f t="shared" si="385"/>
        <v>910</v>
      </c>
      <c r="P78" s="237">
        <f t="shared" si="386"/>
        <v>1222</v>
      </c>
      <c r="Q78" s="281">
        <f t="shared" si="34"/>
        <v>276.47999999999996</v>
      </c>
      <c r="R78" s="282">
        <f t="shared" si="35"/>
        <v>276.47999999999996</v>
      </c>
      <c r="S78" s="236"/>
      <c r="T78" s="236">
        <v>237.74</v>
      </c>
      <c r="U78" s="236">
        <v>495.3</v>
      </c>
      <c r="V78" s="236">
        <v>560.65</v>
      </c>
      <c r="W78" s="236">
        <v>660.4</v>
      </c>
      <c r="X78" s="236">
        <v>657.24</v>
      </c>
      <c r="Y78" s="236">
        <v>704.54</v>
      </c>
      <c r="Z78" s="236">
        <v>782.82</v>
      </c>
      <c r="AA78" s="236">
        <v>1055.44</v>
      </c>
      <c r="AC78">
        <f t="shared" si="279"/>
        <v>28.8</v>
      </c>
      <c r="AD78">
        <f t="shared" si="273"/>
        <v>32.65</v>
      </c>
      <c r="AE78">
        <f t="shared" si="274"/>
        <v>38.4</v>
      </c>
      <c r="AF78">
        <f t="shared" si="275"/>
        <v>38.200000000000003</v>
      </c>
      <c r="AG78">
        <f t="shared" si="276"/>
        <v>41</v>
      </c>
      <c r="AH78">
        <f t="shared" si="277"/>
        <v>45.5</v>
      </c>
      <c r="AI78">
        <f t="shared" si="278"/>
        <v>61.1</v>
      </c>
      <c r="AJ78">
        <f t="shared" si="24"/>
        <v>376</v>
      </c>
      <c r="AL78" s="294">
        <v>237.6</v>
      </c>
      <c r="AM78" t="str">
        <f t="shared" si="25"/>
        <v>VALERA</v>
      </c>
      <c r="AN78">
        <f t="shared" si="37"/>
        <v>1066</v>
      </c>
      <c r="AO78" s="352">
        <f t="shared" si="38"/>
        <v>940</v>
      </c>
      <c r="AP78" s="352">
        <f t="shared" si="39"/>
        <v>987</v>
      </c>
      <c r="AQ78" s="352">
        <f t="shared" si="40"/>
        <v>346</v>
      </c>
      <c r="AR78" s="282">
        <f t="shared" si="41"/>
        <v>1066</v>
      </c>
      <c r="AS78" s="282">
        <f t="shared" si="42"/>
        <v>940</v>
      </c>
      <c r="AT78" s="282">
        <f t="shared" si="43"/>
        <v>987</v>
      </c>
      <c r="AU78" s="282">
        <f t="shared" si="44"/>
        <v>346</v>
      </c>
      <c r="AY78" t="s">
        <v>92</v>
      </c>
      <c r="AZ78">
        <v>476</v>
      </c>
      <c r="BA78" s="352">
        <v>345.74204525278009</v>
      </c>
      <c r="BB78" s="352">
        <v>576.23674208796683</v>
      </c>
      <c r="BC78" s="352">
        <v>653.06830769969577</v>
      </c>
      <c r="BD78" s="352">
        <v>768.31565611728922</v>
      </c>
      <c r="BE78" s="352">
        <v>763.74192077148746</v>
      </c>
      <c r="BF78" s="352">
        <v>819.54041726620801</v>
      </c>
      <c r="BG78" s="352">
        <v>910.21297407012889</v>
      </c>
      <c r="BH78" s="352">
        <v>940.49525246621147</v>
      </c>
      <c r="BI78" s="352">
        <v>986.99534116964924</v>
      </c>
      <c r="BJ78" s="352">
        <v>1222.3101597844659</v>
      </c>
    </row>
    <row r="79" spans="1:62" ht="16.5" customHeight="1">
      <c r="A79" s="62" t="s">
        <v>378</v>
      </c>
      <c r="B79" s="333">
        <v>476</v>
      </c>
      <c r="C79" s="45">
        <f t="shared" ref="C79" si="387">ROUND(BB79,0)</f>
        <v>576</v>
      </c>
      <c r="D79" s="45">
        <f t="shared" ref="D79" si="388">ROUND(BC79,0)</f>
        <v>653</v>
      </c>
      <c r="E79" s="45">
        <f t="shared" ref="E79" si="389">ROUND(BD79,0)</f>
        <v>768</v>
      </c>
      <c r="F79" s="45">
        <f t="shared" ref="F79" si="390">ROUND(BE79,0)</f>
        <v>764</v>
      </c>
      <c r="G79" s="45">
        <f t="shared" ref="G79" si="391">ROUND(BF79,0)</f>
        <v>820</v>
      </c>
      <c r="H79" s="45">
        <f t="shared" ref="H79" si="392">ROUND(BG79,0)</f>
        <v>910</v>
      </c>
      <c r="I79" s="45">
        <f t="shared" ref="I79" si="393">ROUND(BJ79,0)</f>
        <v>1222</v>
      </c>
      <c r="J79" s="113">
        <f t="shared" ref="J79" si="394">C79*$M$1</f>
        <v>576</v>
      </c>
      <c r="K79" s="113">
        <f t="shared" ref="K79" si="395">D79*$M$1</f>
        <v>653</v>
      </c>
      <c r="L79" s="113">
        <f t="shared" ref="L79" si="396">E79*$M$1</f>
        <v>768</v>
      </c>
      <c r="M79" s="234">
        <f t="shared" ref="M79" si="397">F79*$M$1</f>
        <v>764</v>
      </c>
      <c r="N79" s="113">
        <f t="shared" ref="N79" si="398">G79*$M$1</f>
        <v>820</v>
      </c>
      <c r="O79" s="113">
        <f t="shared" ref="O79" si="399">H79*$M$1</f>
        <v>910</v>
      </c>
      <c r="P79" s="237">
        <f t="shared" ref="P79" si="400">I79*$M$1</f>
        <v>1222</v>
      </c>
      <c r="Q79" s="281">
        <f t="shared" ref="Q79" si="401">1.2*C79/2.5</f>
        <v>276.47999999999996</v>
      </c>
      <c r="R79" s="282">
        <f t="shared" ref="R79" si="402">Q79*$M$1</f>
        <v>276.47999999999996</v>
      </c>
      <c r="S79" s="236"/>
      <c r="T79" s="236">
        <v>237.74</v>
      </c>
      <c r="U79" s="236">
        <v>495.3</v>
      </c>
      <c r="V79" s="236">
        <v>560.65</v>
      </c>
      <c r="W79" s="236">
        <v>660.4</v>
      </c>
      <c r="X79" s="236">
        <v>657.24</v>
      </c>
      <c r="Y79" s="236">
        <v>704.54</v>
      </c>
      <c r="Z79" s="236">
        <v>782.82</v>
      </c>
      <c r="AA79" s="236">
        <v>1055.44</v>
      </c>
      <c r="AC79">
        <f t="shared" ref="AC79" si="403">C79/($B$16*2)</f>
        <v>28.8</v>
      </c>
      <c r="AD79">
        <f t="shared" ref="AD79" si="404">D79/($B$16*2)</f>
        <v>32.65</v>
      </c>
      <c r="AE79">
        <f t="shared" ref="AE79" si="405">E79/($B$16*2)</f>
        <v>38.4</v>
      </c>
      <c r="AF79">
        <f t="shared" ref="AF79" si="406">F79/($B$16*2)</f>
        <v>38.200000000000003</v>
      </c>
      <c r="AG79">
        <f t="shared" ref="AG79" si="407">G79/($B$16*2)</f>
        <v>41</v>
      </c>
      <c r="AH79">
        <f t="shared" ref="AH79" si="408">H79/($B$16*2)</f>
        <v>45.5</v>
      </c>
      <c r="AI79">
        <f t="shared" ref="AI79" si="409">I79/($B$16*2)</f>
        <v>61.1</v>
      </c>
      <c r="AJ79">
        <f t="shared" ref="AJ79" si="410">ROUND(((Q79-C79)/(2.5-1))+C79,0)</f>
        <v>376</v>
      </c>
      <c r="AL79" s="354">
        <v>237.6</v>
      </c>
      <c r="AM79" t="str">
        <f t="shared" ref="AM79" si="411">A79</f>
        <v>TRUJILLO</v>
      </c>
      <c r="AN79">
        <f t="shared" ref="AN79" si="412">ROUND(H79+((20-10)/(30-10)*(I79-H79)),0)</f>
        <v>1066</v>
      </c>
      <c r="AO79" s="352">
        <f t="shared" ref="AO79" si="413">ROUND(BH79,0)</f>
        <v>940</v>
      </c>
      <c r="AP79" s="352">
        <f t="shared" ref="AP79" si="414">ROUND(BI79,0)</f>
        <v>987</v>
      </c>
      <c r="AQ79" s="352">
        <f t="shared" ref="AQ79" si="415">ROUND(BA79,0)</f>
        <v>346</v>
      </c>
      <c r="AR79" s="282">
        <f t="shared" ref="AR79" si="416">AN79*$M$1</f>
        <v>1066</v>
      </c>
      <c r="AS79" s="282">
        <f t="shared" ref="AS79" si="417">AO79*$M$1</f>
        <v>940</v>
      </c>
      <c r="AT79" s="282">
        <f t="shared" ref="AT79" si="418">AP79*$M$1</f>
        <v>987</v>
      </c>
      <c r="AU79" s="282">
        <f t="shared" ref="AU79" si="419">AQ79*$M$1</f>
        <v>346</v>
      </c>
      <c r="AY79" t="s">
        <v>92</v>
      </c>
      <c r="AZ79">
        <v>476</v>
      </c>
      <c r="BA79" s="352">
        <v>345.74204525278009</v>
      </c>
      <c r="BB79" s="352">
        <v>576.23674208796683</v>
      </c>
      <c r="BC79" s="352">
        <v>653.06830769969577</v>
      </c>
      <c r="BD79" s="352">
        <v>768.31565611728922</v>
      </c>
      <c r="BE79" s="352">
        <v>763.74192077148746</v>
      </c>
      <c r="BF79" s="352">
        <v>819.54041726620801</v>
      </c>
      <c r="BG79" s="352">
        <v>910.21297407012889</v>
      </c>
      <c r="BH79" s="352">
        <v>940.49525246621147</v>
      </c>
      <c r="BI79" s="352">
        <v>986.99534116964924</v>
      </c>
      <c r="BJ79" s="352">
        <v>1222.3101597844659</v>
      </c>
    </row>
    <row r="80" spans="1:62">
      <c r="A80" s="62" t="s">
        <v>93</v>
      </c>
      <c r="B80" s="333">
        <v>519</v>
      </c>
      <c r="C80" s="45">
        <f t="shared" si="27"/>
        <v>622</v>
      </c>
      <c r="D80" s="45">
        <f t="shared" si="28"/>
        <v>705</v>
      </c>
      <c r="E80" s="45">
        <f t="shared" si="29"/>
        <v>830</v>
      </c>
      <c r="F80" s="45">
        <f t="shared" si="30"/>
        <v>825</v>
      </c>
      <c r="G80" s="45">
        <f t="shared" si="31"/>
        <v>883</v>
      </c>
      <c r="H80" s="45">
        <f t="shared" si="32"/>
        <v>982</v>
      </c>
      <c r="I80" s="45">
        <f t="shared" si="33"/>
        <v>1332</v>
      </c>
      <c r="J80" s="113">
        <f t="shared" si="380"/>
        <v>622</v>
      </c>
      <c r="K80" s="113">
        <f t="shared" si="381"/>
        <v>705</v>
      </c>
      <c r="L80" s="113">
        <f t="shared" si="382"/>
        <v>830</v>
      </c>
      <c r="M80" s="234">
        <f t="shared" si="383"/>
        <v>825</v>
      </c>
      <c r="N80" s="113">
        <f t="shared" si="384"/>
        <v>883</v>
      </c>
      <c r="O80" s="113">
        <f t="shared" si="385"/>
        <v>982</v>
      </c>
      <c r="P80" s="237">
        <f t="shared" si="386"/>
        <v>1332</v>
      </c>
      <c r="Q80" s="281">
        <f t="shared" si="34"/>
        <v>298.56</v>
      </c>
      <c r="R80" s="282">
        <f t="shared" si="35"/>
        <v>298.56</v>
      </c>
      <c r="S80" s="236"/>
      <c r="T80" s="236">
        <v>256.33999999999997</v>
      </c>
      <c r="U80" s="236">
        <v>534.04</v>
      </c>
      <c r="V80" s="236">
        <v>604.91999999999996</v>
      </c>
      <c r="W80" s="236">
        <v>712.06</v>
      </c>
      <c r="X80" s="236">
        <v>709.25</v>
      </c>
      <c r="Y80" s="236">
        <v>759.24</v>
      </c>
      <c r="Z80" s="236">
        <v>843.6</v>
      </c>
      <c r="AA80" s="236">
        <v>1148</v>
      </c>
      <c r="AC80">
        <f t="shared" si="279"/>
        <v>31.1</v>
      </c>
      <c r="AD80">
        <f t="shared" si="273"/>
        <v>35.25</v>
      </c>
      <c r="AE80">
        <f t="shared" si="274"/>
        <v>41.5</v>
      </c>
      <c r="AF80">
        <f t="shared" si="275"/>
        <v>41.25</v>
      </c>
      <c r="AG80">
        <f t="shared" si="276"/>
        <v>44.15</v>
      </c>
      <c r="AH80">
        <f t="shared" si="277"/>
        <v>49.1</v>
      </c>
      <c r="AI80">
        <f t="shared" si="278"/>
        <v>66.599999999999994</v>
      </c>
      <c r="AJ80">
        <f t="shared" si="24"/>
        <v>406</v>
      </c>
      <c r="AL80" s="294">
        <v>256.32</v>
      </c>
      <c r="AM80" t="str">
        <f t="shared" si="25"/>
        <v>JAJO</v>
      </c>
      <c r="AN80">
        <f t="shared" si="37"/>
        <v>1157</v>
      </c>
      <c r="AO80" s="352">
        <f t="shared" si="38"/>
        <v>1016</v>
      </c>
      <c r="AP80" s="352">
        <f t="shared" si="39"/>
        <v>1068</v>
      </c>
      <c r="AQ80" s="352">
        <f t="shared" si="40"/>
        <v>373</v>
      </c>
      <c r="AR80" s="282">
        <f t="shared" si="41"/>
        <v>1157</v>
      </c>
      <c r="AS80" s="282">
        <f t="shared" si="42"/>
        <v>1016</v>
      </c>
      <c r="AT80" s="282">
        <f t="shared" si="43"/>
        <v>1068</v>
      </c>
      <c r="AU80" s="282">
        <f t="shared" si="44"/>
        <v>373</v>
      </c>
      <c r="AY80" t="s">
        <v>93</v>
      </c>
      <c r="AZ80">
        <v>519</v>
      </c>
      <c r="BA80" s="352">
        <v>372.99475226878695</v>
      </c>
      <c r="BB80" s="352">
        <v>622.43499284853829</v>
      </c>
      <c r="BC80" s="352">
        <v>705.19320350817532</v>
      </c>
      <c r="BD80" s="352">
        <v>829.91332379805112</v>
      </c>
      <c r="BE80" s="352">
        <v>825.22642104927786</v>
      </c>
      <c r="BF80" s="352">
        <v>883.42292464936804</v>
      </c>
      <c r="BG80" s="352">
        <v>982.35698076952121</v>
      </c>
      <c r="BH80" s="352">
        <v>1016.0588687942386</v>
      </c>
      <c r="BI80" s="352">
        <v>1068.3178024890738</v>
      </c>
      <c r="BJ80" s="352">
        <v>1331.65175120601</v>
      </c>
    </row>
    <row r="81" spans="1:62">
      <c r="A81" s="62" t="s">
        <v>40</v>
      </c>
      <c r="B81" s="333">
        <v>549</v>
      </c>
      <c r="C81" s="45">
        <f t="shared" si="27"/>
        <v>656</v>
      </c>
      <c r="D81" s="45">
        <f t="shared" si="28"/>
        <v>741</v>
      </c>
      <c r="E81" s="45">
        <f t="shared" si="29"/>
        <v>873</v>
      </c>
      <c r="F81" s="45">
        <f t="shared" si="30"/>
        <v>869</v>
      </c>
      <c r="G81" s="45">
        <f t="shared" si="31"/>
        <v>929</v>
      </c>
      <c r="H81" s="45">
        <f t="shared" si="32"/>
        <v>1034</v>
      </c>
      <c r="I81" s="45">
        <f t="shared" si="33"/>
        <v>1469</v>
      </c>
      <c r="J81" s="113">
        <f t="shared" si="380"/>
        <v>656</v>
      </c>
      <c r="K81" s="113">
        <f t="shared" si="381"/>
        <v>741</v>
      </c>
      <c r="L81" s="113">
        <f t="shared" si="382"/>
        <v>873</v>
      </c>
      <c r="M81" s="234">
        <f t="shared" si="383"/>
        <v>869</v>
      </c>
      <c r="N81" s="113">
        <f t="shared" si="384"/>
        <v>929</v>
      </c>
      <c r="O81" s="113">
        <f t="shared" si="385"/>
        <v>1034</v>
      </c>
      <c r="P81" s="237">
        <f t="shared" si="386"/>
        <v>1469</v>
      </c>
      <c r="Q81" s="281">
        <f t="shared" si="34"/>
        <v>314.88</v>
      </c>
      <c r="R81" s="282">
        <f t="shared" si="35"/>
        <v>314.88</v>
      </c>
      <c r="S81" s="236"/>
      <c r="T81" s="236">
        <v>270.33999999999997</v>
      </c>
      <c r="U81" s="236">
        <v>563.22</v>
      </c>
      <c r="V81" s="236">
        <v>636.47</v>
      </c>
      <c r="W81" s="236">
        <v>750.41</v>
      </c>
      <c r="X81" s="236">
        <v>746.77</v>
      </c>
      <c r="Y81" s="236">
        <v>799.23</v>
      </c>
      <c r="Z81" s="236">
        <v>888.72</v>
      </c>
      <c r="AA81" s="236">
        <v>1268.3</v>
      </c>
      <c r="AC81">
        <f t="shared" si="279"/>
        <v>32.799999999999997</v>
      </c>
      <c r="AD81">
        <f t="shared" si="273"/>
        <v>37.049999999999997</v>
      </c>
      <c r="AE81">
        <f t="shared" si="274"/>
        <v>43.65</v>
      </c>
      <c r="AF81">
        <f t="shared" si="275"/>
        <v>43.45</v>
      </c>
      <c r="AG81">
        <f t="shared" si="276"/>
        <v>46.45</v>
      </c>
      <c r="AH81">
        <f t="shared" si="277"/>
        <v>51.7</v>
      </c>
      <c r="AI81">
        <f t="shared" si="278"/>
        <v>73.45</v>
      </c>
      <c r="AJ81">
        <f t="shared" si="24"/>
        <v>429</v>
      </c>
      <c r="AL81" s="294">
        <v>270.24</v>
      </c>
      <c r="AM81" t="str">
        <f t="shared" si="25"/>
        <v>MERIDA</v>
      </c>
      <c r="AN81">
        <f t="shared" si="37"/>
        <v>1252</v>
      </c>
      <c r="AO81" s="352">
        <f t="shared" si="38"/>
        <v>1077</v>
      </c>
      <c r="AP81" s="352">
        <f t="shared" si="39"/>
        <v>1141</v>
      </c>
      <c r="AQ81" s="352">
        <f t="shared" si="40"/>
        <v>394</v>
      </c>
      <c r="AR81" s="282">
        <f t="shared" si="41"/>
        <v>1252</v>
      </c>
      <c r="AS81" s="282">
        <f t="shared" si="42"/>
        <v>1077</v>
      </c>
      <c r="AT81" s="282">
        <f t="shared" si="43"/>
        <v>1141</v>
      </c>
      <c r="AU81" s="282">
        <f t="shared" si="44"/>
        <v>394</v>
      </c>
      <c r="AY81" t="s">
        <v>40</v>
      </c>
      <c r="AZ81">
        <v>549</v>
      </c>
      <c r="BA81" s="352">
        <v>393.57247550996937</v>
      </c>
      <c r="BB81" s="352">
        <v>655.56598731394297</v>
      </c>
      <c r="BC81" s="352">
        <v>740.56832669923222</v>
      </c>
      <c r="BD81" s="352">
        <v>873.31170601324561</v>
      </c>
      <c r="BE81" s="352">
        <v>868.56827878146782</v>
      </c>
      <c r="BF81" s="352">
        <v>929.03086311431434</v>
      </c>
      <c r="BG81" s="352">
        <v>1033.6776436903947</v>
      </c>
      <c r="BH81" s="352">
        <v>1076.5759279513516</v>
      </c>
      <c r="BI81" s="352">
        <v>1141.4835349867567</v>
      </c>
      <c r="BJ81" s="352">
        <v>1469.3928516251538</v>
      </c>
    </row>
    <row r="82" spans="1:62">
      <c r="A82" s="62" t="s">
        <v>94</v>
      </c>
      <c r="B82" s="333">
        <v>627</v>
      </c>
      <c r="C82" s="45">
        <f t="shared" si="27"/>
        <v>741</v>
      </c>
      <c r="D82" s="45">
        <f t="shared" si="28"/>
        <v>840</v>
      </c>
      <c r="E82" s="45">
        <f t="shared" si="29"/>
        <v>989</v>
      </c>
      <c r="F82" s="45">
        <f t="shared" si="30"/>
        <v>981</v>
      </c>
      <c r="G82" s="45">
        <f t="shared" si="31"/>
        <v>1051</v>
      </c>
      <c r="H82" s="45">
        <f t="shared" si="32"/>
        <v>1168</v>
      </c>
      <c r="I82" s="45">
        <f t="shared" si="33"/>
        <v>1613</v>
      </c>
      <c r="J82" s="113">
        <f t="shared" si="380"/>
        <v>741</v>
      </c>
      <c r="K82" s="113">
        <f t="shared" si="381"/>
        <v>840</v>
      </c>
      <c r="L82" s="113">
        <f t="shared" si="382"/>
        <v>989</v>
      </c>
      <c r="M82" s="234">
        <f t="shared" si="383"/>
        <v>981</v>
      </c>
      <c r="N82" s="113">
        <f t="shared" si="384"/>
        <v>1051</v>
      </c>
      <c r="O82" s="113">
        <f t="shared" si="385"/>
        <v>1168</v>
      </c>
      <c r="P82" s="237">
        <f t="shared" si="386"/>
        <v>1613</v>
      </c>
      <c r="Q82" s="281">
        <f t="shared" si="34"/>
        <v>355.67999999999995</v>
      </c>
      <c r="R82" s="282">
        <f t="shared" si="35"/>
        <v>355.67999999999995</v>
      </c>
      <c r="S82" s="236"/>
      <c r="T82" s="236">
        <v>304.97000000000003</v>
      </c>
      <c r="U82" s="236">
        <v>635.36</v>
      </c>
      <c r="V82" s="236">
        <v>718.53</v>
      </c>
      <c r="W82" s="236">
        <v>846.6</v>
      </c>
      <c r="X82" s="236">
        <v>841.2</v>
      </c>
      <c r="Y82" s="236">
        <v>901.06</v>
      </c>
      <c r="Z82" s="236">
        <v>1001.88</v>
      </c>
      <c r="AA82" s="236">
        <v>1388.13</v>
      </c>
      <c r="AC82">
        <f t="shared" si="279"/>
        <v>37.049999999999997</v>
      </c>
      <c r="AD82">
        <f t="shared" si="273"/>
        <v>42</v>
      </c>
      <c r="AE82">
        <f t="shared" si="274"/>
        <v>49.45</v>
      </c>
      <c r="AF82">
        <f t="shared" si="275"/>
        <v>49.05</v>
      </c>
      <c r="AG82">
        <f t="shared" si="276"/>
        <v>52.55</v>
      </c>
      <c r="AH82">
        <f t="shared" si="277"/>
        <v>58.4</v>
      </c>
      <c r="AI82">
        <f t="shared" si="278"/>
        <v>80.650000000000006</v>
      </c>
      <c r="AJ82">
        <f t="shared" si="24"/>
        <v>484</v>
      </c>
      <c r="AL82" s="294">
        <v>304.8</v>
      </c>
      <c r="AM82" t="str">
        <f t="shared" si="25"/>
        <v>EL VIGIA</v>
      </c>
      <c r="AN82">
        <f t="shared" si="37"/>
        <v>1391</v>
      </c>
      <c r="AO82" s="352">
        <f t="shared" si="38"/>
        <v>1212</v>
      </c>
      <c r="AP82" s="352">
        <f t="shared" si="39"/>
        <v>1278</v>
      </c>
      <c r="AQ82" s="352">
        <f t="shared" si="40"/>
        <v>445</v>
      </c>
      <c r="AR82" s="282">
        <f t="shared" si="41"/>
        <v>1391</v>
      </c>
      <c r="AS82" s="282">
        <f t="shared" si="42"/>
        <v>1212</v>
      </c>
      <c r="AT82" s="282">
        <f t="shared" si="43"/>
        <v>1278</v>
      </c>
      <c r="AU82" s="282">
        <f t="shared" si="44"/>
        <v>445</v>
      </c>
      <c r="AY82" t="s">
        <v>94</v>
      </c>
      <c r="AZ82">
        <v>627</v>
      </c>
      <c r="BA82" s="352">
        <v>444.88155530922478</v>
      </c>
      <c r="BB82" s="352">
        <v>741.46925884870802</v>
      </c>
      <c r="BC82" s="352">
        <v>839.55338127908817</v>
      </c>
      <c r="BD82" s="352">
        <v>989.01490117300102</v>
      </c>
      <c r="BE82" s="352">
        <v>980.55771146857944</v>
      </c>
      <c r="BF82" s="352">
        <v>1050.5142663890488</v>
      </c>
      <c r="BG82" s="352">
        <v>1168.274467171839</v>
      </c>
      <c r="BH82" s="352">
        <v>1212.2546443282629</v>
      </c>
      <c r="BI82" s="352">
        <v>1278.3032215325036</v>
      </c>
      <c r="BJ82" s="352">
        <v>1612.6936672866623</v>
      </c>
    </row>
    <row r="83" spans="1:62">
      <c r="A83" s="62" t="s">
        <v>95</v>
      </c>
      <c r="B83" s="333">
        <v>690</v>
      </c>
      <c r="C83" s="45">
        <f t="shared" si="27"/>
        <v>801</v>
      </c>
      <c r="D83" s="45">
        <f t="shared" si="28"/>
        <v>909</v>
      </c>
      <c r="E83" s="45">
        <f t="shared" si="29"/>
        <v>1068</v>
      </c>
      <c r="F83" s="45">
        <f t="shared" si="30"/>
        <v>1060</v>
      </c>
      <c r="G83" s="45">
        <f t="shared" si="31"/>
        <v>1136</v>
      </c>
      <c r="H83" s="45">
        <f t="shared" si="32"/>
        <v>1262</v>
      </c>
      <c r="I83" s="45">
        <f t="shared" si="33"/>
        <v>1738</v>
      </c>
      <c r="J83" s="113">
        <f t="shared" si="380"/>
        <v>801</v>
      </c>
      <c r="K83" s="113">
        <f t="shared" si="381"/>
        <v>909</v>
      </c>
      <c r="L83" s="113">
        <f t="shared" si="382"/>
        <v>1068</v>
      </c>
      <c r="M83" s="234">
        <f t="shared" si="383"/>
        <v>1060</v>
      </c>
      <c r="N83" s="113">
        <f t="shared" si="384"/>
        <v>1136</v>
      </c>
      <c r="O83" s="113">
        <f t="shared" si="385"/>
        <v>1262</v>
      </c>
      <c r="P83" s="237">
        <f t="shared" si="386"/>
        <v>1738</v>
      </c>
      <c r="Q83" s="281">
        <f t="shared" si="34"/>
        <v>384.47999999999996</v>
      </c>
      <c r="R83" s="282">
        <f t="shared" si="35"/>
        <v>384.47999999999996</v>
      </c>
      <c r="S83" s="236"/>
      <c r="T83" s="236">
        <v>328.3</v>
      </c>
      <c r="U83" s="236">
        <v>683.96</v>
      </c>
      <c r="V83" s="236">
        <v>775.5</v>
      </c>
      <c r="W83" s="236">
        <v>911.95</v>
      </c>
      <c r="X83" s="236">
        <v>905.5</v>
      </c>
      <c r="Y83" s="236">
        <v>970.88</v>
      </c>
      <c r="Z83" s="236">
        <v>1078.76</v>
      </c>
      <c r="AA83" s="236">
        <v>1491.4</v>
      </c>
      <c r="AC83">
        <f t="shared" si="279"/>
        <v>40.049999999999997</v>
      </c>
      <c r="AD83">
        <f t="shared" si="273"/>
        <v>45.45</v>
      </c>
      <c r="AE83">
        <f t="shared" si="274"/>
        <v>53.4</v>
      </c>
      <c r="AF83">
        <f t="shared" si="275"/>
        <v>53</v>
      </c>
      <c r="AG83">
        <f t="shared" si="276"/>
        <v>56.8</v>
      </c>
      <c r="AH83">
        <f t="shared" si="277"/>
        <v>63.1</v>
      </c>
      <c r="AI83">
        <f t="shared" si="278"/>
        <v>86.9</v>
      </c>
      <c r="AJ83">
        <f t="shared" si="24"/>
        <v>523</v>
      </c>
      <c r="AL83" s="294">
        <v>328.32</v>
      </c>
      <c r="AM83" t="str">
        <f t="shared" si="25"/>
        <v>SAN CRISTOBAL</v>
      </c>
      <c r="AN83">
        <f t="shared" si="37"/>
        <v>1500</v>
      </c>
      <c r="AO83" s="352">
        <f t="shared" si="38"/>
        <v>1308</v>
      </c>
      <c r="AP83" s="352">
        <f t="shared" si="39"/>
        <v>1379</v>
      </c>
      <c r="AQ83" s="352">
        <f t="shared" si="40"/>
        <v>480</v>
      </c>
      <c r="AR83" s="282">
        <f t="shared" si="41"/>
        <v>1500</v>
      </c>
      <c r="AS83" s="282">
        <f t="shared" si="42"/>
        <v>1308</v>
      </c>
      <c r="AT83" s="282">
        <f t="shared" si="43"/>
        <v>1379</v>
      </c>
      <c r="AU83" s="282">
        <f t="shared" si="44"/>
        <v>480</v>
      </c>
      <c r="AY83" t="s">
        <v>95</v>
      </c>
      <c r="AZ83">
        <v>690</v>
      </c>
      <c r="BA83" s="352">
        <v>480.31290074607818</v>
      </c>
      <c r="BB83" s="352">
        <v>801.30249783004263</v>
      </c>
      <c r="BC83" s="352">
        <v>909.08002677794298</v>
      </c>
      <c r="BD83" s="352">
        <v>1068.4033304400568</v>
      </c>
      <c r="BE83" s="352">
        <v>1059.7405683590898</v>
      </c>
      <c r="BF83" s="352">
        <v>1135.7705208351836</v>
      </c>
      <c r="BG83" s="352">
        <v>1262.0972111031545</v>
      </c>
      <c r="BH83" s="352">
        <v>1308.378191256855</v>
      </c>
      <c r="BI83" s="352">
        <v>1379.1278666974408</v>
      </c>
      <c r="BJ83" s="352">
        <v>1737.6847366848012</v>
      </c>
    </row>
    <row r="84" spans="1:62">
      <c r="A84" s="62" t="s">
        <v>96</v>
      </c>
      <c r="B84" s="333">
        <v>692</v>
      </c>
      <c r="C84" s="45">
        <f t="shared" si="27"/>
        <v>798</v>
      </c>
      <c r="D84" s="45">
        <f t="shared" si="28"/>
        <v>904</v>
      </c>
      <c r="E84" s="45">
        <f t="shared" si="29"/>
        <v>1064</v>
      </c>
      <c r="F84" s="45">
        <f t="shared" si="30"/>
        <v>1054</v>
      </c>
      <c r="G84" s="45">
        <f t="shared" si="31"/>
        <v>1130</v>
      </c>
      <c r="H84" s="45">
        <f t="shared" si="32"/>
        <v>1257</v>
      </c>
      <c r="I84" s="45">
        <f t="shared" si="33"/>
        <v>1724</v>
      </c>
      <c r="J84" s="113">
        <f t="shared" si="380"/>
        <v>798</v>
      </c>
      <c r="K84" s="113">
        <f t="shared" si="381"/>
        <v>904</v>
      </c>
      <c r="L84" s="113">
        <f t="shared" si="382"/>
        <v>1064</v>
      </c>
      <c r="M84" s="234">
        <f t="shared" si="383"/>
        <v>1054</v>
      </c>
      <c r="N84" s="113">
        <f t="shared" si="384"/>
        <v>1130</v>
      </c>
      <c r="O84" s="113">
        <f t="shared" si="385"/>
        <v>1257</v>
      </c>
      <c r="P84" s="237">
        <f t="shared" si="386"/>
        <v>1724</v>
      </c>
      <c r="Q84" s="281">
        <f t="shared" si="34"/>
        <v>383.03999999999996</v>
      </c>
      <c r="R84" s="282">
        <f t="shared" si="35"/>
        <v>383.03999999999996</v>
      </c>
      <c r="S84" s="236"/>
      <c r="T84" s="236">
        <v>326.43</v>
      </c>
      <c r="U84" s="236">
        <v>680.06</v>
      </c>
      <c r="V84" s="236">
        <v>771.08</v>
      </c>
      <c r="W84" s="236">
        <v>906.74</v>
      </c>
      <c r="X84" s="236">
        <v>900.37</v>
      </c>
      <c r="Y84" s="236">
        <v>965.38</v>
      </c>
      <c r="Z84" s="236">
        <v>1072.6400000000001</v>
      </c>
      <c r="AA84" s="236">
        <v>1476.64</v>
      </c>
      <c r="AC84">
        <f t="shared" si="279"/>
        <v>39.9</v>
      </c>
      <c r="AD84">
        <f t="shared" si="273"/>
        <v>45.2</v>
      </c>
      <c r="AE84">
        <f t="shared" si="274"/>
        <v>53.2</v>
      </c>
      <c r="AF84">
        <f t="shared" si="275"/>
        <v>52.7</v>
      </c>
      <c r="AG84">
        <f t="shared" si="276"/>
        <v>56.5</v>
      </c>
      <c r="AH84">
        <f t="shared" si="277"/>
        <v>62.85</v>
      </c>
      <c r="AI84">
        <f t="shared" si="278"/>
        <v>86.2</v>
      </c>
      <c r="AJ84">
        <f t="shared" si="24"/>
        <v>521</v>
      </c>
      <c r="AL84" s="294">
        <v>326.39999999999998</v>
      </c>
      <c r="AM84" t="str">
        <f t="shared" si="25"/>
        <v>COLONCITO/TACHIRA</v>
      </c>
      <c r="AN84">
        <f t="shared" si="37"/>
        <v>1491</v>
      </c>
      <c r="AO84" s="352">
        <f t="shared" si="38"/>
        <v>1302</v>
      </c>
      <c r="AP84" s="352">
        <f t="shared" si="39"/>
        <v>1372</v>
      </c>
      <c r="AQ84" s="352">
        <f t="shared" si="40"/>
        <v>479</v>
      </c>
      <c r="AR84" s="282">
        <f t="shared" si="41"/>
        <v>1491</v>
      </c>
      <c r="AS84" s="282">
        <f t="shared" si="42"/>
        <v>1302</v>
      </c>
      <c r="AT84" s="282">
        <f t="shared" si="43"/>
        <v>1372</v>
      </c>
      <c r="AU84" s="282">
        <f t="shared" si="44"/>
        <v>479</v>
      </c>
      <c r="AY84" t="s">
        <v>96</v>
      </c>
      <c r="AZ84">
        <v>692</v>
      </c>
      <c r="BA84" s="352">
        <v>478.6327519162524</v>
      </c>
      <c r="BB84" s="352">
        <v>797.72125319375402</v>
      </c>
      <c r="BC84" s="352">
        <v>904.47512678291821</v>
      </c>
      <c r="BD84" s="352">
        <v>1064.0193774216689</v>
      </c>
      <c r="BE84" s="352">
        <v>1054.1555950769475</v>
      </c>
      <c r="BF84" s="352">
        <v>1130.2890547213935</v>
      </c>
      <c r="BG84" s="352">
        <v>1256.7877261306273</v>
      </c>
      <c r="BH84" s="352">
        <v>1301.9435322067266</v>
      </c>
      <c r="BI84" s="352">
        <v>1371.6012170103049</v>
      </c>
      <c r="BJ84" s="352">
        <v>1723.6056838156762</v>
      </c>
    </row>
    <row r="85" spans="1:62">
      <c r="A85" s="62" t="s">
        <v>97</v>
      </c>
      <c r="B85" s="333">
        <v>713</v>
      </c>
      <c r="C85" s="45">
        <f t="shared" si="27"/>
        <v>834</v>
      </c>
      <c r="D85" s="45">
        <f t="shared" si="28"/>
        <v>945</v>
      </c>
      <c r="E85" s="45">
        <f t="shared" si="29"/>
        <v>1111</v>
      </c>
      <c r="F85" s="45">
        <f t="shared" si="30"/>
        <v>1108</v>
      </c>
      <c r="G85" s="45">
        <f t="shared" si="31"/>
        <v>1187</v>
      </c>
      <c r="H85" s="45">
        <f t="shared" si="32"/>
        <v>1319</v>
      </c>
      <c r="I85" s="45">
        <f t="shared" si="33"/>
        <v>1755</v>
      </c>
      <c r="J85" s="113">
        <f t="shared" si="380"/>
        <v>834</v>
      </c>
      <c r="K85" s="113">
        <f t="shared" si="381"/>
        <v>945</v>
      </c>
      <c r="L85" s="113">
        <f t="shared" si="382"/>
        <v>1111</v>
      </c>
      <c r="M85" s="234">
        <f t="shared" si="383"/>
        <v>1108</v>
      </c>
      <c r="N85" s="113">
        <f t="shared" si="384"/>
        <v>1187</v>
      </c>
      <c r="O85" s="113">
        <f t="shared" si="385"/>
        <v>1319</v>
      </c>
      <c r="P85" s="237">
        <f t="shared" si="386"/>
        <v>1755</v>
      </c>
      <c r="Q85" s="281">
        <f t="shared" si="34"/>
        <v>400.32</v>
      </c>
      <c r="R85" s="282">
        <f t="shared" si="35"/>
        <v>400.32</v>
      </c>
      <c r="S85" s="236"/>
      <c r="T85" s="236">
        <v>341.64</v>
      </c>
      <c r="U85" s="236">
        <v>711.75</v>
      </c>
      <c r="V85" s="236">
        <v>807.31</v>
      </c>
      <c r="W85" s="236">
        <v>949</v>
      </c>
      <c r="X85" s="236">
        <v>948.04</v>
      </c>
      <c r="Y85" s="236">
        <v>1015.42</v>
      </c>
      <c r="Z85" s="236">
        <v>1128.24</v>
      </c>
      <c r="AA85" s="236">
        <v>1506.24</v>
      </c>
      <c r="AC85">
        <f t="shared" si="279"/>
        <v>41.7</v>
      </c>
      <c r="AD85">
        <f t="shared" si="273"/>
        <v>47.25</v>
      </c>
      <c r="AE85">
        <f t="shared" si="274"/>
        <v>55.55</v>
      </c>
      <c r="AF85">
        <f t="shared" si="275"/>
        <v>55.4</v>
      </c>
      <c r="AG85">
        <f t="shared" si="276"/>
        <v>59.35</v>
      </c>
      <c r="AH85">
        <f t="shared" si="277"/>
        <v>65.95</v>
      </c>
      <c r="AI85">
        <f t="shared" si="278"/>
        <v>87.75</v>
      </c>
      <c r="AJ85">
        <f t="shared" si="24"/>
        <v>545</v>
      </c>
      <c r="AL85" s="294">
        <v>341.76</v>
      </c>
      <c r="AM85" t="str">
        <f t="shared" si="25"/>
        <v>LA FRIA</v>
      </c>
      <c r="AN85">
        <f t="shared" si="37"/>
        <v>1537</v>
      </c>
      <c r="AO85" s="352">
        <f t="shared" si="38"/>
        <v>1362</v>
      </c>
      <c r="AP85" s="352">
        <f t="shared" si="39"/>
        <v>1427</v>
      </c>
      <c r="AQ85" s="352">
        <f t="shared" si="40"/>
        <v>500</v>
      </c>
      <c r="AR85" s="282">
        <f t="shared" si="41"/>
        <v>1537</v>
      </c>
      <c r="AS85" s="282">
        <f t="shared" si="42"/>
        <v>1362</v>
      </c>
      <c r="AT85" s="282">
        <f t="shared" si="43"/>
        <v>1427</v>
      </c>
      <c r="AU85" s="282">
        <f t="shared" si="44"/>
        <v>500</v>
      </c>
      <c r="AY85" t="s">
        <v>97</v>
      </c>
      <c r="AZ85">
        <v>713</v>
      </c>
      <c r="BA85" s="352">
        <v>500.05247324457326</v>
      </c>
      <c r="BB85" s="352">
        <v>833.81114976612685</v>
      </c>
      <c r="BC85" s="352">
        <v>945.0640419399781</v>
      </c>
      <c r="BD85" s="352">
        <v>1111.3578386629977</v>
      </c>
      <c r="BE85" s="352">
        <v>1108.4931369270939</v>
      </c>
      <c r="BF85" s="352">
        <v>1186.8360063090722</v>
      </c>
      <c r="BG85" s="352">
        <v>1318.9665173562892</v>
      </c>
      <c r="BH85" s="352">
        <v>1361.6786065817394</v>
      </c>
      <c r="BI85" s="352">
        <v>1426.524235103361</v>
      </c>
      <c r="BJ85" s="352">
        <v>1754.6294739221278</v>
      </c>
    </row>
    <row r="86" spans="1:62">
      <c r="A86" s="62" t="s">
        <v>98</v>
      </c>
      <c r="B86" s="333">
        <v>758</v>
      </c>
      <c r="C86" s="45">
        <f t="shared" si="27"/>
        <v>882</v>
      </c>
      <c r="D86" s="45">
        <f t="shared" si="28"/>
        <v>1001</v>
      </c>
      <c r="E86" s="45">
        <f t="shared" si="29"/>
        <v>1177</v>
      </c>
      <c r="F86" s="45">
        <f t="shared" si="30"/>
        <v>1179</v>
      </c>
      <c r="G86" s="45">
        <f t="shared" si="31"/>
        <v>1264</v>
      </c>
      <c r="H86" s="45">
        <f t="shared" si="32"/>
        <v>1403</v>
      </c>
      <c r="I86" s="45">
        <f t="shared" si="33"/>
        <v>1870</v>
      </c>
      <c r="J86" s="113">
        <f t="shared" si="380"/>
        <v>882</v>
      </c>
      <c r="K86" s="113">
        <f t="shared" si="381"/>
        <v>1001</v>
      </c>
      <c r="L86" s="113">
        <f t="shared" si="382"/>
        <v>1177</v>
      </c>
      <c r="M86" s="234">
        <f t="shared" si="383"/>
        <v>1179</v>
      </c>
      <c r="N86" s="113">
        <f t="shared" si="384"/>
        <v>1264</v>
      </c>
      <c r="O86" s="113">
        <f t="shared" si="385"/>
        <v>1403</v>
      </c>
      <c r="P86" s="237">
        <f t="shared" si="386"/>
        <v>1870</v>
      </c>
      <c r="Q86" s="281">
        <f t="shared" si="34"/>
        <v>423.35999999999996</v>
      </c>
      <c r="R86" s="282">
        <f t="shared" si="35"/>
        <v>423.35999999999996</v>
      </c>
      <c r="S86" s="236"/>
      <c r="T86" s="236">
        <v>361.62</v>
      </c>
      <c r="U86" s="236">
        <v>753.38</v>
      </c>
      <c r="V86" s="236">
        <v>854.73</v>
      </c>
      <c r="W86" s="236">
        <v>1005.07</v>
      </c>
      <c r="X86" s="236">
        <v>1008.13</v>
      </c>
      <c r="Y86" s="236">
        <v>1080.72</v>
      </c>
      <c r="Z86" s="236">
        <v>1200.08</v>
      </c>
      <c r="AA86" s="236">
        <v>1605.08</v>
      </c>
      <c r="AC86">
        <f t="shared" si="279"/>
        <v>44.1</v>
      </c>
      <c r="AD86">
        <f t="shared" si="273"/>
        <v>50.05</v>
      </c>
      <c r="AE86">
        <f t="shared" si="274"/>
        <v>58.85</v>
      </c>
      <c r="AF86">
        <f t="shared" si="275"/>
        <v>58.95</v>
      </c>
      <c r="AG86">
        <f t="shared" si="276"/>
        <v>63.2</v>
      </c>
      <c r="AH86">
        <f t="shared" si="277"/>
        <v>70.150000000000006</v>
      </c>
      <c r="AI86">
        <f t="shared" si="278"/>
        <v>93.5</v>
      </c>
      <c r="AJ86">
        <f t="shared" si="24"/>
        <v>576</v>
      </c>
      <c r="AL86" s="294">
        <v>361.44</v>
      </c>
      <c r="AM86" t="str">
        <f t="shared" si="25"/>
        <v>LA GRITA</v>
      </c>
      <c r="AN86">
        <f t="shared" si="37"/>
        <v>1637</v>
      </c>
      <c r="AO86" s="352">
        <f t="shared" si="38"/>
        <v>1449</v>
      </c>
      <c r="AP86" s="352">
        <f t="shared" si="39"/>
        <v>1518</v>
      </c>
      <c r="AQ86" s="352">
        <f t="shared" si="40"/>
        <v>529</v>
      </c>
      <c r="AR86" s="282">
        <f t="shared" si="41"/>
        <v>1637</v>
      </c>
      <c r="AS86" s="282">
        <f t="shared" si="42"/>
        <v>1449</v>
      </c>
      <c r="AT86" s="282">
        <f t="shared" si="43"/>
        <v>1518</v>
      </c>
      <c r="AU86" s="282">
        <f t="shared" si="44"/>
        <v>529</v>
      </c>
      <c r="AY86" t="s">
        <v>98</v>
      </c>
      <c r="AZ86">
        <v>758</v>
      </c>
      <c r="BA86" s="352">
        <v>529.33619807309128</v>
      </c>
      <c r="BB86" s="352">
        <v>881.83663086070294</v>
      </c>
      <c r="BC86" s="352">
        <v>1001.2886047621527</v>
      </c>
      <c r="BD86" s="352">
        <v>1176.9532722642848</v>
      </c>
      <c r="BE86" s="352">
        <v>1178.6586233469982</v>
      </c>
      <c r="BF86" s="352">
        <v>1264.0178292044693</v>
      </c>
      <c r="BG86" s="352">
        <v>1403.1650277940455</v>
      </c>
      <c r="BH86" s="352">
        <v>1449.2758156670482</v>
      </c>
      <c r="BI86" s="352">
        <v>1517.517748439004</v>
      </c>
      <c r="BJ86" s="352">
        <v>1869.991195138876</v>
      </c>
    </row>
    <row r="87" spans="1:62">
      <c r="A87" s="42" t="s">
        <v>99</v>
      </c>
      <c r="B87" s="335"/>
      <c r="C87" s="45">
        <f t="shared" si="27"/>
        <v>0</v>
      </c>
      <c r="D87" s="45">
        <f t="shared" si="28"/>
        <v>0</v>
      </c>
      <c r="E87" s="45">
        <f t="shared" si="29"/>
        <v>0</v>
      </c>
      <c r="F87" s="45">
        <f t="shared" si="30"/>
        <v>0</v>
      </c>
      <c r="G87" s="45">
        <f t="shared" si="31"/>
        <v>0</v>
      </c>
      <c r="H87" s="45">
        <f t="shared" si="32"/>
        <v>0</v>
      </c>
      <c r="I87" s="45">
        <f t="shared" si="33"/>
        <v>0</v>
      </c>
      <c r="J87" s="243"/>
      <c r="K87" s="243" t="s">
        <v>257</v>
      </c>
      <c r="L87" s="243"/>
      <c r="M87" s="244"/>
      <c r="N87" s="243"/>
      <c r="O87" s="243"/>
      <c r="P87" s="245"/>
      <c r="Q87" s="245"/>
      <c r="R87" s="245"/>
      <c r="S87" s="236"/>
      <c r="T87" s="245"/>
      <c r="U87" s="245"/>
      <c r="V87" s="245"/>
      <c r="W87" s="245"/>
      <c r="X87" s="245"/>
      <c r="Y87" s="245"/>
      <c r="Z87" s="245"/>
      <c r="AA87" s="245"/>
      <c r="AC87">
        <f t="shared" si="279"/>
        <v>0</v>
      </c>
      <c r="AD87">
        <f t="shared" si="273"/>
        <v>0</v>
      </c>
      <c r="AE87">
        <f t="shared" si="274"/>
        <v>0</v>
      </c>
      <c r="AF87">
        <f t="shared" si="275"/>
        <v>0</v>
      </c>
      <c r="AG87">
        <f t="shared" si="276"/>
        <v>0</v>
      </c>
      <c r="AH87">
        <f t="shared" si="277"/>
        <v>0</v>
      </c>
      <c r="AI87">
        <f t="shared" si="278"/>
        <v>0</v>
      </c>
      <c r="AJ87">
        <f t="shared" si="24"/>
        <v>0</v>
      </c>
      <c r="AL87" s="294"/>
      <c r="AM87" t="str">
        <f t="shared" si="25"/>
        <v>Región Oriente</v>
      </c>
      <c r="AN87">
        <f t="shared" si="37"/>
        <v>0</v>
      </c>
      <c r="AO87" s="352">
        <f t="shared" si="38"/>
        <v>0</v>
      </c>
      <c r="AP87" s="352">
        <f t="shared" si="39"/>
        <v>0</v>
      </c>
      <c r="AQ87" s="352">
        <f t="shared" si="40"/>
        <v>0</v>
      </c>
      <c r="AR87" s="282">
        <f t="shared" si="41"/>
        <v>0</v>
      </c>
      <c r="AS87" s="282">
        <f t="shared" si="42"/>
        <v>0</v>
      </c>
      <c r="AT87" s="282">
        <f t="shared" si="43"/>
        <v>0</v>
      </c>
      <c r="AU87" s="282">
        <f t="shared" si="44"/>
        <v>0</v>
      </c>
    </row>
    <row r="88" spans="1:62">
      <c r="A88" s="62" t="s">
        <v>100</v>
      </c>
      <c r="B88" s="333">
        <v>419</v>
      </c>
      <c r="C88" s="45">
        <f t="shared" si="27"/>
        <v>500</v>
      </c>
      <c r="D88" s="45">
        <f t="shared" si="28"/>
        <v>567</v>
      </c>
      <c r="E88" s="45">
        <f t="shared" si="29"/>
        <v>667</v>
      </c>
      <c r="F88" s="45">
        <f t="shared" si="30"/>
        <v>675</v>
      </c>
      <c r="G88" s="45">
        <f t="shared" si="31"/>
        <v>723</v>
      </c>
      <c r="H88" s="45">
        <f t="shared" si="32"/>
        <v>804</v>
      </c>
      <c r="I88" s="45">
        <f t="shared" si="33"/>
        <v>1102</v>
      </c>
      <c r="J88" s="113">
        <f t="shared" ref="J88:J102" si="420">C88*$M$1</f>
        <v>500</v>
      </c>
      <c r="K88" s="113">
        <f t="shared" ref="K88:K102" si="421">D88*$M$1</f>
        <v>567</v>
      </c>
      <c r="L88" s="113">
        <f t="shared" ref="L88:L102" si="422">E88*$M$1</f>
        <v>667</v>
      </c>
      <c r="M88" s="234">
        <f t="shared" ref="M88:M102" si="423">F88*$M$1</f>
        <v>675</v>
      </c>
      <c r="N88" s="113">
        <f t="shared" ref="N88:N102" si="424">G88*$M$1</f>
        <v>723</v>
      </c>
      <c r="O88" s="113">
        <f t="shared" ref="O88:O102" si="425">H88*$M$1</f>
        <v>804</v>
      </c>
      <c r="P88" s="237">
        <f t="shared" ref="P88:P102" si="426">I88*$M$1</f>
        <v>1102</v>
      </c>
      <c r="Q88" s="281">
        <f t="shared" si="34"/>
        <v>240</v>
      </c>
      <c r="R88" s="282">
        <f t="shared" si="35"/>
        <v>240</v>
      </c>
      <c r="S88" s="236"/>
      <c r="T88" s="236">
        <v>206.42</v>
      </c>
      <c r="U88" s="236">
        <v>430.03</v>
      </c>
      <c r="V88" s="236">
        <v>486.53</v>
      </c>
      <c r="W88" s="236">
        <v>572.85</v>
      </c>
      <c r="X88" s="236">
        <v>580.88</v>
      </c>
      <c r="Y88" s="236">
        <v>621.83000000000004</v>
      </c>
      <c r="Z88" s="236">
        <v>691.59</v>
      </c>
      <c r="AA88" s="236">
        <v>951.68</v>
      </c>
      <c r="AC88">
        <f t="shared" si="279"/>
        <v>25</v>
      </c>
      <c r="AD88">
        <f t="shared" si="273"/>
        <v>28.35</v>
      </c>
      <c r="AE88">
        <f t="shared" si="274"/>
        <v>33.35</v>
      </c>
      <c r="AF88">
        <f t="shared" si="275"/>
        <v>33.75</v>
      </c>
      <c r="AG88">
        <f t="shared" si="276"/>
        <v>36.15</v>
      </c>
      <c r="AH88">
        <f t="shared" si="277"/>
        <v>40.200000000000003</v>
      </c>
      <c r="AI88">
        <f t="shared" si="278"/>
        <v>55.1</v>
      </c>
      <c r="AJ88">
        <f t="shared" ref="AJ88" si="427">ROUND(((Q88-C88)/(2.5-1))+C88,0)</f>
        <v>327</v>
      </c>
      <c r="AL88" s="294">
        <v>206.4</v>
      </c>
      <c r="AM88" t="str">
        <f t="shared" si="25"/>
        <v>BARCELONA</v>
      </c>
      <c r="AN88">
        <f t="shared" si="37"/>
        <v>953</v>
      </c>
      <c r="AO88" s="352">
        <f t="shared" si="38"/>
        <v>833</v>
      </c>
      <c r="AP88" s="352">
        <f t="shared" si="39"/>
        <v>877</v>
      </c>
      <c r="AQ88" s="352">
        <f t="shared" si="40"/>
        <v>300</v>
      </c>
      <c r="AR88" s="282">
        <f t="shared" si="41"/>
        <v>953</v>
      </c>
      <c r="AS88" s="282">
        <f t="shared" si="42"/>
        <v>833</v>
      </c>
      <c r="AT88" s="282">
        <f t="shared" si="43"/>
        <v>877</v>
      </c>
      <c r="AU88" s="282">
        <f t="shared" si="44"/>
        <v>300</v>
      </c>
      <c r="AY88" t="s">
        <v>100</v>
      </c>
      <c r="AZ88">
        <v>419</v>
      </c>
      <c r="BA88" s="352">
        <v>300.14746969168488</v>
      </c>
      <c r="BB88" s="352">
        <v>500.24578281947481</v>
      </c>
      <c r="BC88" s="352">
        <v>566.55743310019591</v>
      </c>
      <c r="BD88" s="352">
        <v>666.60658966409085</v>
      </c>
      <c r="BE88" s="352">
        <v>674.94828332206748</v>
      </c>
      <c r="BF88" s="352">
        <v>722.578024485931</v>
      </c>
      <c r="BG88" s="352">
        <v>803.89709476569817</v>
      </c>
      <c r="BH88" s="352">
        <v>833.13095220305104</v>
      </c>
      <c r="BI88" s="352">
        <v>877.41290148202415</v>
      </c>
      <c r="BJ88" s="352">
        <v>1102.2880195126584</v>
      </c>
    </row>
    <row r="89" spans="1:62">
      <c r="A89" s="63" t="s">
        <v>101</v>
      </c>
      <c r="B89" s="333">
        <v>429</v>
      </c>
      <c r="C89" s="45">
        <f t="shared" si="27"/>
        <v>509</v>
      </c>
      <c r="D89" s="45">
        <f t="shared" si="28"/>
        <v>576</v>
      </c>
      <c r="E89" s="45">
        <f t="shared" si="29"/>
        <v>679</v>
      </c>
      <c r="F89" s="45">
        <f t="shared" si="30"/>
        <v>689</v>
      </c>
      <c r="G89" s="45">
        <f t="shared" si="31"/>
        <v>737</v>
      </c>
      <c r="H89" s="45">
        <f t="shared" si="32"/>
        <v>818</v>
      </c>
      <c r="I89" s="45">
        <f t="shared" si="33"/>
        <v>1135</v>
      </c>
      <c r="J89" s="113">
        <f t="shared" si="420"/>
        <v>509</v>
      </c>
      <c r="K89" s="113">
        <f t="shared" si="421"/>
        <v>576</v>
      </c>
      <c r="L89" s="113">
        <f t="shared" si="422"/>
        <v>679</v>
      </c>
      <c r="M89" s="234">
        <f t="shared" si="423"/>
        <v>689</v>
      </c>
      <c r="N89" s="113">
        <f t="shared" si="424"/>
        <v>737</v>
      </c>
      <c r="O89" s="113">
        <f t="shared" si="425"/>
        <v>818</v>
      </c>
      <c r="P89" s="237">
        <f t="shared" si="426"/>
        <v>1135</v>
      </c>
      <c r="Q89" s="281">
        <v>286</v>
      </c>
      <c r="R89" s="282">
        <f t="shared" si="35"/>
        <v>286</v>
      </c>
      <c r="S89" s="236"/>
      <c r="T89" s="236">
        <v>209.67</v>
      </c>
      <c r="U89" s="236">
        <v>436.8</v>
      </c>
      <c r="V89" s="236">
        <v>495.15</v>
      </c>
      <c r="W89" s="236">
        <v>583.46</v>
      </c>
      <c r="X89" s="236">
        <v>592.82000000000005</v>
      </c>
      <c r="Y89" s="236">
        <v>633.97</v>
      </c>
      <c r="Z89" s="236">
        <v>704.07</v>
      </c>
      <c r="AA89" s="236">
        <v>980.48</v>
      </c>
      <c r="AC89">
        <f t="shared" si="279"/>
        <v>25.45</v>
      </c>
      <c r="AD89">
        <f t="shared" si="273"/>
        <v>28.8</v>
      </c>
      <c r="AE89">
        <f t="shared" si="274"/>
        <v>33.950000000000003</v>
      </c>
      <c r="AF89">
        <f t="shared" si="275"/>
        <v>34.450000000000003</v>
      </c>
      <c r="AG89">
        <f t="shared" si="276"/>
        <v>36.85</v>
      </c>
      <c r="AH89">
        <f t="shared" si="277"/>
        <v>40.9</v>
      </c>
      <c r="AI89">
        <f t="shared" si="278"/>
        <v>56.75</v>
      </c>
      <c r="AJ89">
        <f>ROUND(((Q89-C89)/(2.5-1))+C89,0)</f>
        <v>360</v>
      </c>
      <c r="AL89" s="294">
        <v>209.76</v>
      </c>
      <c r="AM89" t="str">
        <f t="shared" si="25"/>
        <v>PTO. LA CRUZ</v>
      </c>
      <c r="AN89">
        <f t="shared" si="37"/>
        <v>977</v>
      </c>
      <c r="AO89" s="352">
        <f t="shared" si="38"/>
        <v>850</v>
      </c>
      <c r="AP89" s="352">
        <f t="shared" si="39"/>
        <v>896</v>
      </c>
      <c r="AQ89" s="352">
        <f t="shared" si="40"/>
        <v>305</v>
      </c>
      <c r="AR89" s="282">
        <f t="shared" si="41"/>
        <v>977</v>
      </c>
      <c r="AS89" s="282">
        <f t="shared" si="42"/>
        <v>850</v>
      </c>
      <c r="AT89" s="282">
        <f t="shared" si="43"/>
        <v>896</v>
      </c>
      <c r="AU89" s="282">
        <f t="shared" si="44"/>
        <v>305</v>
      </c>
      <c r="AY89" t="s">
        <v>101</v>
      </c>
      <c r="AZ89">
        <v>429</v>
      </c>
      <c r="BA89" s="352">
        <v>304.94960658924435</v>
      </c>
      <c r="BB89" s="352">
        <v>508.63732091412123</v>
      </c>
      <c r="BC89" s="352">
        <v>576.14524909036618</v>
      </c>
      <c r="BD89" s="352">
        <v>678.5710711508757</v>
      </c>
      <c r="BE89" s="352">
        <v>689.21561652260846</v>
      </c>
      <c r="BF89" s="352">
        <v>736.86796100393565</v>
      </c>
      <c r="BG89" s="352">
        <v>818.22562231351844</v>
      </c>
      <c r="BH89" s="352">
        <v>849.76973852280321</v>
      </c>
      <c r="BI89" s="352">
        <v>896.36643201783647</v>
      </c>
      <c r="BJ89" s="352">
        <v>1135.219213377625</v>
      </c>
    </row>
    <row r="90" spans="1:62">
      <c r="A90" s="63" t="s">
        <v>102</v>
      </c>
      <c r="B90" s="333">
        <v>469</v>
      </c>
      <c r="C90" s="45">
        <f t="shared" si="27"/>
        <v>535</v>
      </c>
      <c r="D90" s="45">
        <f t="shared" si="28"/>
        <v>607</v>
      </c>
      <c r="E90" s="45">
        <f t="shared" si="29"/>
        <v>713</v>
      </c>
      <c r="F90" s="45">
        <f t="shared" si="30"/>
        <v>720</v>
      </c>
      <c r="G90" s="45">
        <f t="shared" si="31"/>
        <v>773</v>
      </c>
      <c r="H90" s="45">
        <f t="shared" si="32"/>
        <v>858</v>
      </c>
      <c r="I90" s="45">
        <f t="shared" si="33"/>
        <v>1177</v>
      </c>
      <c r="J90" s="113">
        <f t="shared" si="420"/>
        <v>535</v>
      </c>
      <c r="K90" s="113">
        <f t="shared" si="421"/>
        <v>607</v>
      </c>
      <c r="L90" s="113">
        <f t="shared" si="422"/>
        <v>713</v>
      </c>
      <c r="M90" s="234">
        <f t="shared" si="423"/>
        <v>720</v>
      </c>
      <c r="N90" s="113">
        <f t="shared" si="424"/>
        <v>773</v>
      </c>
      <c r="O90" s="113">
        <f t="shared" si="425"/>
        <v>858</v>
      </c>
      <c r="P90" s="237">
        <f t="shared" si="426"/>
        <v>1177</v>
      </c>
      <c r="Q90" s="281">
        <f t="shared" si="34"/>
        <v>256.8</v>
      </c>
      <c r="R90" s="282">
        <f t="shared" si="35"/>
        <v>256.8</v>
      </c>
      <c r="S90" s="236"/>
      <c r="T90" s="236">
        <v>218.64</v>
      </c>
      <c r="U90" s="236">
        <v>455.51</v>
      </c>
      <c r="V90" s="236">
        <v>518.05999999999995</v>
      </c>
      <c r="W90" s="236">
        <v>607.88</v>
      </c>
      <c r="X90" s="236">
        <v>615.29999999999995</v>
      </c>
      <c r="Y90" s="236">
        <v>660.14</v>
      </c>
      <c r="Z90" s="236">
        <v>732.8</v>
      </c>
      <c r="AA90" s="236">
        <v>1009.44</v>
      </c>
      <c r="AC90">
        <f t="shared" si="279"/>
        <v>26.75</v>
      </c>
      <c r="AD90">
        <f t="shared" si="273"/>
        <v>30.35</v>
      </c>
      <c r="AE90">
        <f t="shared" si="274"/>
        <v>35.65</v>
      </c>
      <c r="AF90">
        <f t="shared" si="275"/>
        <v>36</v>
      </c>
      <c r="AG90">
        <f t="shared" si="276"/>
        <v>38.65</v>
      </c>
      <c r="AH90">
        <f t="shared" si="277"/>
        <v>42.9</v>
      </c>
      <c r="AI90">
        <f t="shared" si="278"/>
        <v>58.85</v>
      </c>
      <c r="AJ90">
        <f t="shared" ref="AJ90:AJ114" si="428">ROUND(((Q90-C90)/(2.5-1))+C90,0)</f>
        <v>350</v>
      </c>
      <c r="AL90" s="294">
        <v>218.87999999999997</v>
      </c>
      <c r="AM90" t="str">
        <f t="shared" si="25"/>
        <v>ANACO</v>
      </c>
      <c r="AN90">
        <f t="shared" si="37"/>
        <v>1018</v>
      </c>
      <c r="AO90" s="352">
        <f t="shared" si="38"/>
        <v>890</v>
      </c>
      <c r="AP90" s="352">
        <f t="shared" si="39"/>
        <v>937</v>
      </c>
      <c r="AQ90" s="352">
        <f t="shared" si="40"/>
        <v>321</v>
      </c>
      <c r="AR90" s="282">
        <f t="shared" si="41"/>
        <v>1018</v>
      </c>
      <c r="AS90" s="282">
        <f t="shared" si="42"/>
        <v>890</v>
      </c>
      <c r="AT90" s="282">
        <f t="shared" si="43"/>
        <v>937</v>
      </c>
      <c r="AU90" s="282">
        <f t="shared" si="44"/>
        <v>321</v>
      </c>
      <c r="AY90" t="s">
        <v>102</v>
      </c>
      <c r="AZ90">
        <v>469</v>
      </c>
      <c r="BA90" s="352">
        <v>321.27369674795057</v>
      </c>
      <c r="BB90" s="352">
        <v>534.67447341994693</v>
      </c>
      <c r="BC90" s="352">
        <v>607.37144129722049</v>
      </c>
      <c r="BD90" s="352">
        <v>712.89929789326254</v>
      </c>
      <c r="BE90" s="352">
        <v>719.96954466502655</v>
      </c>
      <c r="BF90" s="352">
        <v>772.65024305515044</v>
      </c>
      <c r="BG90" s="352">
        <v>858.11004266579585</v>
      </c>
      <c r="BH90" s="352">
        <v>889.74306732927471</v>
      </c>
      <c r="BI90" s="352">
        <v>936.53365323714002</v>
      </c>
      <c r="BJ90" s="352">
        <v>1176.9099234281089</v>
      </c>
    </row>
    <row r="91" spans="1:62">
      <c r="A91" s="63" t="s">
        <v>103</v>
      </c>
      <c r="B91" s="333">
        <v>486</v>
      </c>
      <c r="C91" s="45">
        <f t="shared" si="27"/>
        <v>599</v>
      </c>
      <c r="D91" s="45">
        <f t="shared" si="28"/>
        <v>677</v>
      </c>
      <c r="E91" s="45">
        <f t="shared" si="29"/>
        <v>798</v>
      </c>
      <c r="F91" s="45">
        <f t="shared" si="30"/>
        <v>805</v>
      </c>
      <c r="G91" s="45">
        <f t="shared" si="31"/>
        <v>863</v>
      </c>
      <c r="H91" s="45">
        <f t="shared" si="32"/>
        <v>959</v>
      </c>
      <c r="I91" s="45">
        <f t="shared" si="33"/>
        <v>1315</v>
      </c>
      <c r="J91" s="113">
        <f t="shared" si="420"/>
        <v>599</v>
      </c>
      <c r="K91" s="113">
        <f t="shared" si="421"/>
        <v>677</v>
      </c>
      <c r="L91" s="113">
        <f t="shared" si="422"/>
        <v>798</v>
      </c>
      <c r="M91" s="234">
        <f t="shared" si="423"/>
        <v>805</v>
      </c>
      <c r="N91" s="113">
        <f t="shared" si="424"/>
        <v>863</v>
      </c>
      <c r="O91" s="113">
        <f t="shared" si="425"/>
        <v>959</v>
      </c>
      <c r="P91" s="237">
        <f t="shared" si="426"/>
        <v>1315</v>
      </c>
      <c r="Q91" s="281">
        <f t="shared" si="34"/>
        <v>287.52</v>
      </c>
      <c r="R91" s="282">
        <f t="shared" si="35"/>
        <v>287.52</v>
      </c>
      <c r="S91" s="236"/>
      <c r="T91" s="236">
        <v>248.14</v>
      </c>
      <c r="U91" s="236">
        <v>516.97</v>
      </c>
      <c r="V91" s="236">
        <v>585.17999999999995</v>
      </c>
      <c r="W91" s="236">
        <v>689.29</v>
      </c>
      <c r="X91" s="236">
        <v>695.66</v>
      </c>
      <c r="Y91" s="236">
        <v>745.72</v>
      </c>
      <c r="Z91" s="236">
        <v>828.57</v>
      </c>
      <c r="AA91" s="236">
        <v>1141.44</v>
      </c>
      <c r="AC91">
        <f t="shared" si="279"/>
        <v>29.95</v>
      </c>
      <c r="AD91">
        <f t="shared" si="273"/>
        <v>33.85</v>
      </c>
      <c r="AE91">
        <f t="shared" si="274"/>
        <v>39.9</v>
      </c>
      <c r="AF91">
        <f t="shared" si="275"/>
        <v>40.25</v>
      </c>
      <c r="AG91">
        <f t="shared" si="276"/>
        <v>43.15</v>
      </c>
      <c r="AH91">
        <f t="shared" si="277"/>
        <v>47.95</v>
      </c>
      <c r="AI91">
        <f t="shared" si="278"/>
        <v>65.75</v>
      </c>
      <c r="AJ91">
        <f t="shared" si="428"/>
        <v>391</v>
      </c>
      <c r="AL91" s="294">
        <v>248.16</v>
      </c>
      <c r="AM91" t="str">
        <f t="shared" si="25"/>
        <v>CUMANA</v>
      </c>
      <c r="AN91">
        <f t="shared" si="37"/>
        <v>1137</v>
      </c>
      <c r="AO91" s="352">
        <f t="shared" si="38"/>
        <v>993</v>
      </c>
      <c r="AP91" s="352">
        <f t="shared" si="39"/>
        <v>1047</v>
      </c>
      <c r="AQ91" s="352">
        <f t="shared" si="40"/>
        <v>359</v>
      </c>
      <c r="AR91" s="282">
        <f t="shared" si="41"/>
        <v>1137</v>
      </c>
      <c r="AS91" s="282">
        <f t="shared" si="42"/>
        <v>993</v>
      </c>
      <c r="AT91" s="282">
        <f t="shared" si="43"/>
        <v>1047</v>
      </c>
      <c r="AU91" s="282">
        <f t="shared" si="44"/>
        <v>359</v>
      </c>
      <c r="AY91" t="s">
        <v>103</v>
      </c>
      <c r="AZ91">
        <v>486</v>
      </c>
      <c r="BA91" s="352">
        <v>358.98082343139322</v>
      </c>
      <c r="BB91" s="352">
        <v>598.68737327106555</v>
      </c>
      <c r="BC91" s="352">
        <v>677.43155389472611</v>
      </c>
      <c r="BD91" s="352">
        <v>797.86383014267733</v>
      </c>
      <c r="BE91" s="352">
        <v>804.89066768973748</v>
      </c>
      <c r="BF91" s="352">
        <v>862.7132731272186</v>
      </c>
      <c r="BG91" s="352">
        <v>958.69879815343734</v>
      </c>
      <c r="BH91" s="352">
        <v>993.45936583745959</v>
      </c>
      <c r="BI91" s="352">
        <v>1046.6611824692195</v>
      </c>
      <c r="BJ91" s="352">
        <v>1315.4082370330866</v>
      </c>
    </row>
    <row r="92" spans="1:62">
      <c r="A92" s="63" t="s">
        <v>104</v>
      </c>
      <c r="B92" s="333">
        <v>540</v>
      </c>
      <c r="C92" s="45">
        <f t="shared" si="27"/>
        <v>635</v>
      </c>
      <c r="D92" s="45">
        <f t="shared" si="28"/>
        <v>716</v>
      </c>
      <c r="E92" s="45">
        <f t="shared" si="29"/>
        <v>845</v>
      </c>
      <c r="F92" s="45">
        <f t="shared" si="30"/>
        <v>852</v>
      </c>
      <c r="G92" s="45">
        <f t="shared" si="31"/>
        <v>911</v>
      </c>
      <c r="H92" s="45">
        <f t="shared" si="32"/>
        <v>1013</v>
      </c>
      <c r="I92" s="45">
        <f t="shared" si="33"/>
        <v>1352</v>
      </c>
      <c r="J92" s="113">
        <f t="shared" si="420"/>
        <v>635</v>
      </c>
      <c r="K92" s="113">
        <f t="shared" si="421"/>
        <v>716</v>
      </c>
      <c r="L92" s="113">
        <f t="shared" si="422"/>
        <v>845</v>
      </c>
      <c r="M92" s="234">
        <f t="shared" si="423"/>
        <v>852</v>
      </c>
      <c r="N92" s="113">
        <f t="shared" si="424"/>
        <v>911</v>
      </c>
      <c r="O92" s="113">
        <f t="shared" si="425"/>
        <v>1013</v>
      </c>
      <c r="P92" s="237">
        <f t="shared" si="426"/>
        <v>1352</v>
      </c>
      <c r="Q92" s="281">
        <f t="shared" si="34"/>
        <v>304.8</v>
      </c>
      <c r="R92" s="282">
        <f t="shared" si="35"/>
        <v>304.8</v>
      </c>
      <c r="S92" s="236"/>
      <c r="T92" s="236">
        <v>260.52</v>
      </c>
      <c r="U92" s="236">
        <v>542.75</v>
      </c>
      <c r="V92" s="236">
        <v>613.34</v>
      </c>
      <c r="W92" s="236">
        <v>723.15</v>
      </c>
      <c r="X92" s="236">
        <v>729.71</v>
      </c>
      <c r="Y92" s="236">
        <v>780.97</v>
      </c>
      <c r="Z92" s="236">
        <v>868.41</v>
      </c>
      <c r="AA92" s="236">
        <v>1163.48</v>
      </c>
      <c r="AC92">
        <f t="shared" si="279"/>
        <v>31.75</v>
      </c>
      <c r="AD92">
        <f t="shared" si="273"/>
        <v>35.799999999999997</v>
      </c>
      <c r="AE92">
        <f t="shared" si="274"/>
        <v>42.25</v>
      </c>
      <c r="AF92">
        <f t="shared" si="275"/>
        <v>42.6</v>
      </c>
      <c r="AG92">
        <f t="shared" si="276"/>
        <v>45.55</v>
      </c>
      <c r="AH92">
        <f t="shared" si="277"/>
        <v>50.65</v>
      </c>
      <c r="AI92">
        <f t="shared" si="278"/>
        <v>67.599999999999994</v>
      </c>
      <c r="AJ92">
        <f t="shared" si="428"/>
        <v>415</v>
      </c>
      <c r="AL92" s="294">
        <v>260.64</v>
      </c>
      <c r="AM92" t="str">
        <f t="shared" si="25"/>
        <v>EL TIGRE</v>
      </c>
      <c r="AN92">
        <f t="shared" si="37"/>
        <v>1183</v>
      </c>
      <c r="AO92" s="352">
        <f t="shared" si="38"/>
        <v>1047</v>
      </c>
      <c r="AP92" s="352">
        <f t="shared" si="39"/>
        <v>1097</v>
      </c>
      <c r="AQ92" s="352">
        <f t="shared" si="40"/>
        <v>381</v>
      </c>
      <c r="AR92" s="282">
        <f t="shared" si="41"/>
        <v>1183</v>
      </c>
      <c r="AS92" s="282">
        <f t="shared" si="42"/>
        <v>1047</v>
      </c>
      <c r="AT92" s="282">
        <f t="shared" si="43"/>
        <v>1097</v>
      </c>
      <c r="AU92" s="282">
        <f t="shared" si="44"/>
        <v>381</v>
      </c>
      <c r="AY92" t="s">
        <v>104</v>
      </c>
      <c r="AZ92">
        <v>540</v>
      </c>
      <c r="BA92" s="352">
        <v>380.97758691095203</v>
      </c>
      <c r="BB92" s="352">
        <v>634.57309721670845</v>
      </c>
      <c r="BC92" s="352">
        <v>716.37810054114595</v>
      </c>
      <c r="BD92" s="352">
        <v>844.92882005097647</v>
      </c>
      <c r="BE92" s="352">
        <v>851.83110245937053</v>
      </c>
      <c r="BF92" s="352">
        <v>911.3425904394087</v>
      </c>
      <c r="BG92" s="352">
        <v>1012.8621875818269</v>
      </c>
      <c r="BH92" s="352">
        <v>1046.5825646476519</v>
      </c>
      <c r="BI92" s="352">
        <v>1096.577859292325</v>
      </c>
      <c r="BJ92" s="352">
        <v>1352.3524719147651</v>
      </c>
    </row>
    <row r="93" spans="1:62">
      <c r="A93" s="63" t="s">
        <v>105</v>
      </c>
      <c r="B93" s="333">
        <v>554</v>
      </c>
      <c r="C93" s="45">
        <f t="shared" ref="C93:C115" si="429">ROUND(BB93,0)</f>
        <v>719</v>
      </c>
      <c r="D93" s="45">
        <f t="shared" ref="D93:D115" si="430">ROUND(BC93,0)</f>
        <v>814</v>
      </c>
      <c r="E93" s="45">
        <f t="shared" ref="E93:E115" si="431">ROUND(BD93,0)</f>
        <v>958</v>
      </c>
      <c r="F93" s="45">
        <f t="shared" ref="F93:F115" si="432">ROUND(BE93,0)</f>
        <v>962</v>
      </c>
      <c r="G93" s="45">
        <f t="shared" ref="G93:G115" si="433">ROUND(BF93,0)</f>
        <v>1031</v>
      </c>
      <c r="H93" s="45">
        <f t="shared" ref="H93:H115" si="434">ROUND(BG93,0)</f>
        <v>1146</v>
      </c>
      <c r="I93" s="45">
        <f t="shared" ref="I93:I115" si="435">ROUND(BJ93,0)</f>
        <v>1550</v>
      </c>
      <c r="J93" s="113">
        <f t="shared" si="420"/>
        <v>719</v>
      </c>
      <c r="K93" s="113">
        <f t="shared" si="421"/>
        <v>814</v>
      </c>
      <c r="L93" s="113">
        <f t="shared" si="422"/>
        <v>958</v>
      </c>
      <c r="M93" s="234">
        <f t="shared" si="423"/>
        <v>962</v>
      </c>
      <c r="N93" s="113">
        <f t="shared" si="424"/>
        <v>1031</v>
      </c>
      <c r="O93" s="113">
        <f t="shared" si="425"/>
        <v>1146</v>
      </c>
      <c r="P93" s="237">
        <f t="shared" si="426"/>
        <v>1550</v>
      </c>
      <c r="Q93" s="281">
        <f t="shared" si="34"/>
        <v>345.12</v>
      </c>
      <c r="R93" s="282">
        <f t="shared" si="35"/>
        <v>345.12</v>
      </c>
      <c r="S93" s="236"/>
      <c r="T93" s="236">
        <v>300</v>
      </c>
      <c r="U93" s="236">
        <v>624.99</v>
      </c>
      <c r="V93" s="236">
        <v>707.79</v>
      </c>
      <c r="W93" s="236">
        <v>833.32</v>
      </c>
      <c r="X93" s="236">
        <v>838.09</v>
      </c>
      <c r="Y93" s="236">
        <v>898.23</v>
      </c>
      <c r="Z93" s="236">
        <v>998.03</v>
      </c>
      <c r="AA93" s="236">
        <v>1352.68</v>
      </c>
      <c r="AC93">
        <f t="shared" si="279"/>
        <v>35.950000000000003</v>
      </c>
      <c r="AD93">
        <f t="shared" si="273"/>
        <v>40.700000000000003</v>
      </c>
      <c r="AE93">
        <f t="shared" si="274"/>
        <v>47.9</v>
      </c>
      <c r="AF93">
        <f t="shared" si="275"/>
        <v>48.1</v>
      </c>
      <c r="AG93">
        <f t="shared" si="276"/>
        <v>51.55</v>
      </c>
      <c r="AH93">
        <f t="shared" si="277"/>
        <v>57.3</v>
      </c>
      <c r="AI93">
        <f t="shared" si="278"/>
        <v>77.5</v>
      </c>
      <c r="AJ93">
        <f t="shared" si="428"/>
        <v>470</v>
      </c>
      <c r="AL93" s="294">
        <v>300</v>
      </c>
      <c r="AM93" t="str">
        <f t="shared" si="25"/>
        <v>MARGARITA</v>
      </c>
      <c r="AN93">
        <f t="shared" si="37"/>
        <v>1348</v>
      </c>
      <c r="AO93" s="352">
        <f t="shared" ref="AO93:AO115" si="436">ROUND(BH93,0)</f>
        <v>1186</v>
      </c>
      <c r="AP93" s="352">
        <f t="shared" ref="AP93:AP115" si="437">ROUND(BI93,0)</f>
        <v>1246</v>
      </c>
      <c r="AQ93" s="352">
        <f t="shared" ref="AQ93:AQ115" si="438">ROUND(BA93,0)</f>
        <v>431</v>
      </c>
      <c r="AR93" s="282">
        <f t="shared" si="41"/>
        <v>1348</v>
      </c>
      <c r="AS93" s="282">
        <f t="shared" si="42"/>
        <v>1186</v>
      </c>
      <c r="AT93" s="282">
        <f t="shared" si="43"/>
        <v>1246</v>
      </c>
      <c r="AU93" s="282">
        <f t="shared" si="44"/>
        <v>431</v>
      </c>
      <c r="AY93" t="s">
        <v>105</v>
      </c>
      <c r="AZ93">
        <v>554</v>
      </c>
      <c r="BA93" s="352">
        <v>431.23037432217387</v>
      </c>
      <c r="BB93" s="352">
        <v>718.7172905369564</v>
      </c>
      <c r="BC93" s="352">
        <v>814.16294672026424</v>
      </c>
      <c r="BD93" s="352">
        <v>957.90640482765559</v>
      </c>
      <c r="BE93" s="352">
        <v>962.49281640135246</v>
      </c>
      <c r="BF93" s="352">
        <v>1031.4063832081317</v>
      </c>
      <c r="BG93" s="352">
        <v>1146.2623278860976</v>
      </c>
      <c r="BH93" s="352">
        <v>1186.4317021290078</v>
      </c>
      <c r="BI93" s="352">
        <v>1246.0650347447422</v>
      </c>
      <c r="BJ93" s="352">
        <v>1549.6110860898566</v>
      </c>
    </row>
    <row r="94" spans="1:62">
      <c r="A94" s="63" t="s">
        <v>42</v>
      </c>
      <c r="B94" s="333">
        <v>587</v>
      </c>
      <c r="C94" s="45">
        <f t="shared" si="429"/>
        <v>706</v>
      </c>
      <c r="D94" s="45">
        <f t="shared" si="430"/>
        <v>800</v>
      </c>
      <c r="E94" s="45">
        <f t="shared" si="431"/>
        <v>941</v>
      </c>
      <c r="F94" s="45">
        <f t="shared" si="432"/>
        <v>947</v>
      </c>
      <c r="G94" s="45">
        <f t="shared" si="433"/>
        <v>1015</v>
      </c>
      <c r="H94" s="45">
        <f t="shared" si="434"/>
        <v>1127</v>
      </c>
      <c r="I94" s="45">
        <f t="shared" si="435"/>
        <v>1530</v>
      </c>
      <c r="J94" s="113">
        <f t="shared" si="420"/>
        <v>706</v>
      </c>
      <c r="K94" s="113">
        <f t="shared" si="421"/>
        <v>800</v>
      </c>
      <c r="L94" s="113">
        <f t="shared" si="422"/>
        <v>941</v>
      </c>
      <c r="M94" s="234">
        <f t="shared" si="423"/>
        <v>947</v>
      </c>
      <c r="N94" s="113">
        <f t="shared" si="424"/>
        <v>1015</v>
      </c>
      <c r="O94" s="113">
        <f t="shared" si="425"/>
        <v>1127</v>
      </c>
      <c r="P94" s="237">
        <f t="shared" si="426"/>
        <v>1530</v>
      </c>
      <c r="Q94" s="281">
        <f t="shared" si="34"/>
        <v>338.88</v>
      </c>
      <c r="R94" s="282">
        <f t="shared" si="35"/>
        <v>338.88</v>
      </c>
      <c r="S94" s="236"/>
      <c r="T94" s="236">
        <v>291.18</v>
      </c>
      <c r="U94" s="236">
        <v>606.62</v>
      </c>
      <c r="V94" s="236">
        <v>688.41</v>
      </c>
      <c r="W94" s="236">
        <v>809.39</v>
      </c>
      <c r="X94" s="236">
        <v>814.76</v>
      </c>
      <c r="Y94" s="236">
        <v>873.54</v>
      </c>
      <c r="Z94" s="236">
        <v>969.87</v>
      </c>
      <c r="AA94" s="236">
        <v>1321.16</v>
      </c>
      <c r="AC94">
        <f t="shared" si="279"/>
        <v>35.299999999999997</v>
      </c>
      <c r="AD94">
        <f t="shared" ref="AD94:AD110" si="439">D94/($B$16*2)</f>
        <v>40</v>
      </c>
      <c r="AE94">
        <f t="shared" ref="AE94:AE110" si="440">E94/($B$16*2)</f>
        <v>47.05</v>
      </c>
      <c r="AF94">
        <f t="shared" ref="AF94:AF110" si="441">F94/($B$16*2)</f>
        <v>47.35</v>
      </c>
      <c r="AG94">
        <f t="shared" ref="AG94:AG110" si="442">G94/($B$16*2)</f>
        <v>50.75</v>
      </c>
      <c r="AH94">
        <f t="shared" ref="AH94:AH110" si="443">H94/($B$16*2)</f>
        <v>56.35</v>
      </c>
      <c r="AI94">
        <f t="shared" ref="AI94:AI110" si="444">I94/($B$16*2)</f>
        <v>76.5</v>
      </c>
      <c r="AJ94">
        <f t="shared" si="428"/>
        <v>461</v>
      </c>
      <c r="AL94" s="294">
        <v>291.36</v>
      </c>
      <c r="AM94" t="str">
        <f t="shared" ref="AM94:AM115" si="445">A94</f>
        <v>MATURIN</v>
      </c>
      <c r="AN94">
        <f t="shared" si="37"/>
        <v>1329</v>
      </c>
      <c r="AO94" s="352">
        <f t="shared" si="436"/>
        <v>1166</v>
      </c>
      <c r="AP94" s="352">
        <f t="shared" si="437"/>
        <v>1226</v>
      </c>
      <c r="AQ94" s="352">
        <f t="shared" si="438"/>
        <v>423</v>
      </c>
      <c r="AR94" s="282">
        <f t="shared" si="41"/>
        <v>1329</v>
      </c>
      <c r="AS94" s="282">
        <f t="shared" si="42"/>
        <v>1166</v>
      </c>
      <c r="AT94" s="282">
        <f t="shared" si="43"/>
        <v>1226</v>
      </c>
      <c r="AU94" s="282">
        <f t="shared" si="44"/>
        <v>423</v>
      </c>
      <c r="AY94" t="s">
        <v>42</v>
      </c>
      <c r="AZ94">
        <v>587</v>
      </c>
      <c r="BA94" s="352">
        <v>423.46552631846106</v>
      </c>
      <c r="BB94" s="352">
        <v>706.16366614095023</v>
      </c>
      <c r="BC94" s="352">
        <v>800.3963794151133</v>
      </c>
      <c r="BD94" s="352">
        <v>941.16376591108531</v>
      </c>
      <c r="BE94" s="352">
        <v>946.80045098616199</v>
      </c>
      <c r="BF94" s="352">
        <v>1015.3418333274915</v>
      </c>
      <c r="BG94" s="352">
        <v>1126.8667944252479</v>
      </c>
      <c r="BH94" s="352">
        <v>1166.1692216035674</v>
      </c>
      <c r="BI94" s="352">
        <v>1226.3092161094851</v>
      </c>
      <c r="BJ94" s="352">
        <v>1529.5581919411788</v>
      </c>
    </row>
    <row r="95" spans="1:62">
      <c r="A95" s="63" t="s">
        <v>106</v>
      </c>
      <c r="B95" s="333">
        <v>612</v>
      </c>
      <c r="C95" s="45">
        <f t="shared" si="429"/>
        <v>755</v>
      </c>
      <c r="D95" s="45">
        <f t="shared" si="430"/>
        <v>856</v>
      </c>
      <c r="E95" s="45">
        <f t="shared" si="431"/>
        <v>1008</v>
      </c>
      <c r="F95" s="45">
        <f t="shared" si="432"/>
        <v>1017</v>
      </c>
      <c r="G95" s="45">
        <f t="shared" si="433"/>
        <v>1091</v>
      </c>
      <c r="H95" s="45">
        <f t="shared" si="434"/>
        <v>1212</v>
      </c>
      <c r="I95" s="45">
        <f t="shared" si="435"/>
        <v>1650</v>
      </c>
      <c r="J95" s="113">
        <f t="shared" si="420"/>
        <v>755</v>
      </c>
      <c r="K95" s="113">
        <f t="shared" si="421"/>
        <v>856</v>
      </c>
      <c r="L95" s="113">
        <f t="shared" si="422"/>
        <v>1008</v>
      </c>
      <c r="M95" s="234">
        <f t="shared" si="423"/>
        <v>1017</v>
      </c>
      <c r="N95" s="113">
        <f t="shared" si="424"/>
        <v>1091</v>
      </c>
      <c r="O95" s="113">
        <f t="shared" si="425"/>
        <v>1212</v>
      </c>
      <c r="P95" s="237">
        <f t="shared" si="426"/>
        <v>1650</v>
      </c>
      <c r="Q95" s="281">
        <f t="shared" ref="Q95:Q110" si="446">1.2*C95/2.5</f>
        <v>362.4</v>
      </c>
      <c r="R95" s="282">
        <f t="shared" ref="R95:R114" si="447">Q95*$M$1</f>
        <v>362.4</v>
      </c>
      <c r="S95" s="236"/>
      <c r="T95" s="236">
        <v>313.06</v>
      </c>
      <c r="U95" s="236">
        <v>652.21</v>
      </c>
      <c r="V95" s="236">
        <v>739.29</v>
      </c>
      <c r="W95" s="236">
        <v>870.8</v>
      </c>
      <c r="X95" s="236">
        <v>880.18</v>
      </c>
      <c r="Y95" s="236">
        <v>943.54</v>
      </c>
      <c r="Z95" s="236">
        <v>1048</v>
      </c>
      <c r="AA95" s="236">
        <v>1432.08</v>
      </c>
      <c r="AC95">
        <f t="shared" ref="AC95:AC114" si="448">C95/($B$16*2)</f>
        <v>37.75</v>
      </c>
      <c r="AD95">
        <f t="shared" si="439"/>
        <v>42.8</v>
      </c>
      <c r="AE95">
        <f t="shared" si="440"/>
        <v>50.4</v>
      </c>
      <c r="AF95">
        <f t="shared" si="441"/>
        <v>50.85</v>
      </c>
      <c r="AG95">
        <f t="shared" si="442"/>
        <v>54.55</v>
      </c>
      <c r="AH95">
        <f t="shared" si="443"/>
        <v>60.6</v>
      </c>
      <c r="AI95">
        <f t="shared" si="444"/>
        <v>82.5</v>
      </c>
      <c r="AJ95">
        <f t="shared" si="428"/>
        <v>493</v>
      </c>
      <c r="AL95" s="294">
        <v>312.95999999999998</v>
      </c>
      <c r="AM95" t="str">
        <f t="shared" si="445"/>
        <v>CARUPANO</v>
      </c>
      <c r="AN95">
        <f t="shared" ref="AN95:AN110" si="449">ROUND(H95+((20-10)/(30-10)*(I95-H95)),0)</f>
        <v>1431</v>
      </c>
      <c r="AO95" s="352">
        <f t="shared" si="436"/>
        <v>1254</v>
      </c>
      <c r="AP95" s="352">
        <f t="shared" si="437"/>
        <v>1320</v>
      </c>
      <c r="AQ95" s="352">
        <f t="shared" si="438"/>
        <v>453</v>
      </c>
      <c r="AR95" s="282">
        <f t="shared" ref="AR95:AR110" si="450">AN95*$M$1</f>
        <v>1431</v>
      </c>
      <c r="AS95" s="282">
        <f t="shared" ref="AS95:AS110" si="451">AO95*$M$1</f>
        <v>1254</v>
      </c>
      <c r="AT95" s="282">
        <f t="shared" ref="AT95:AT110" si="452">AP95*$M$1</f>
        <v>1320</v>
      </c>
      <c r="AU95" s="282">
        <f t="shared" ref="AU95:AU110" si="453">AQ95*$M$1</f>
        <v>453</v>
      </c>
      <c r="AY95" t="s">
        <v>106</v>
      </c>
      <c r="AZ95">
        <v>612</v>
      </c>
      <c r="BA95" s="352">
        <v>452.64675086856545</v>
      </c>
      <c r="BB95" s="352">
        <v>754.79713955576642</v>
      </c>
      <c r="BC95" s="352">
        <v>855.51393578483339</v>
      </c>
      <c r="BD95" s="352">
        <v>1008.325626615142</v>
      </c>
      <c r="BE95" s="352">
        <v>1017.3882809484297</v>
      </c>
      <c r="BF95" s="352">
        <v>1091.3801559264975</v>
      </c>
      <c r="BG95" s="352">
        <v>1211.6169527658571</v>
      </c>
      <c r="BH95" s="352">
        <v>1254.1820490047305</v>
      </c>
      <c r="BI95" s="352">
        <v>1319.7935451907608</v>
      </c>
      <c r="BJ95" s="352">
        <v>1650.4428100748678</v>
      </c>
    </row>
    <row r="96" spans="1:62">
      <c r="A96" s="63" t="s">
        <v>107</v>
      </c>
      <c r="B96" s="333">
        <v>622</v>
      </c>
      <c r="C96" s="45">
        <f t="shared" si="429"/>
        <v>762</v>
      </c>
      <c r="D96" s="45">
        <f t="shared" si="430"/>
        <v>861</v>
      </c>
      <c r="E96" s="45">
        <f t="shared" si="431"/>
        <v>1013</v>
      </c>
      <c r="F96" s="45">
        <f t="shared" si="432"/>
        <v>1024</v>
      </c>
      <c r="G96" s="45">
        <f t="shared" si="433"/>
        <v>1097</v>
      </c>
      <c r="H96" s="45">
        <f t="shared" si="434"/>
        <v>1218</v>
      </c>
      <c r="I96" s="45">
        <f t="shared" si="435"/>
        <v>1678</v>
      </c>
      <c r="J96" s="113">
        <f t="shared" si="420"/>
        <v>762</v>
      </c>
      <c r="K96" s="113">
        <f t="shared" si="421"/>
        <v>861</v>
      </c>
      <c r="L96" s="113">
        <f t="shared" si="422"/>
        <v>1013</v>
      </c>
      <c r="M96" s="234">
        <f t="shared" si="423"/>
        <v>1024</v>
      </c>
      <c r="N96" s="113">
        <f t="shared" si="424"/>
        <v>1097</v>
      </c>
      <c r="O96" s="113">
        <f t="shared" si="425"/>
        <v>1218</v>
      </c>
      <c r="P96" s="237">
        <f t="shared" si="426"/>
        <v>1678</v>
      </c>
      <c r="Q96" s="281">
        <f t="shared" si="446"/>
        <v>365.76</v>
      </c>
      <c r="R96" s="282">
        <f t="shared" si="447"/>
        <v>365.76</v>
      </c>
      <c r="S96" s="236"/>
      <c r="T96" s="236">
        <v>315.24</v>
      </c>
      <c r="U96" s="236">
        <v>656.75</v>
      </c>
      <c r="V96" s="236">
        <v>743.49</v>
      </c>
      <c r="W96" s="236">
        <v>874.48</v>
      </c>
      <c r="X96" s="236">
        <v>885.46</v>
      </c>
      <c r="Y96" s="236">
        <v>948.46</v>
      </c>
      <c r="Z96" s="236">
        <v>1052.33</v>
      </c>
      <c r="AA96" s="236">
        <v>1454.16</v>
      </c>
      <c r="AC96">
        <f t="shared" si="448"/>
        <v>38.1</v>
      </c>
      <c r="AD96">
        <f t="shared" si="439"/>
        <v>43.05</v>
      </c>
      <c r="AE96">
        <f t="shared" si="440"/>
        <v>50.65</v>
      </c>
      <c r="AF96">
        <f t="shared" si="441"/>
        <v>51.2</v>
      </c>
      <c r="AG96">
        <f t="shared" si="442"/>
        <v>54.85</v>
      </c>
      <c r="AH96">
        <f t="shared" si="443"/>
        <v>60.9</v>
      </c>
      <c r="AI96">
        <f t="shared" si="444"/>
        <v>83.9</v>
      </c>
      <c r="AJ96">
        <f t="shared" si="428"/>
        <v>498</v>
      </c>
      <c r="AL96" s="294">
        <v>315.36</v>
      </c>
      <c r="AM96" t="str">
        <f t="shared" si="445"/>
        <v>CIUDAD BOLIVAR</v>
      </c>
      <c r="AN96">
        <f t="shared" si="449"/>
        <v>1448</v>
      </c>
      <c r="AO96" s="352">
        <f t="shared" si="436"/>
        <v>1263</v>
      </c>
      <c r="AP96" s="352">
        <f t="shared" si="437"/>
        <v>1332</v>
      </c>
      <c r="AQ96" s="352">
        <f t="shared" si="438"/>
        <v>457</v>
      </c>
      <c r="AR96" s="282">
        <f t="shared" si="450"/>
        <v>1448</v>
      </c>
      <c r="AS96" s="282">
        <f t="shared" si="451"/>
        <v>1263</v>
      </c>
      <c r="AT96" s="282">
        <f t="shared" si="452"/>
        <v>1332</v>
      </c>
      <c r="AU96" s="282">
        <f t="shared" si="453"/>
        <v>457</v>
      </c>
      <c r="AY96" t="s">
        <v>107</v>
      </c>
      <c r="AZ96">
        <v>622</v>
      </c>
      <c r="BA96" s="352">
        <v>456.72354801105604</v>
      </c>
      <c r="BB96" s="352">
        <v>761.59231229254772</v>
      </c>
      <c r="BC96" s="352">
        <v>861.28323901577323</v>
      </c>
      <c r="BD96" s="352">
        <v>1013.1380227453375</v>
      </c>
      <c r="BE96" s="352">
        <v>1024.4943540976442</v>
      </c>
      <c r="BF96" s="352">
        <v>1097.4244606605275</v>
      </c>
      <c r="BG96" s="352">
        <v>1217.8170175262394</v>
      </c>
      <c r="BH96" s="352">
        <v>1262.716457263756</v>
      </c>
      <c r="BI96" s="352">
        <v>1331.8436615483788</v>
      </c>
      <c r="BJ96" s="352">
        <v>1677.8724102579281</v>
      </c>
    </row>
    <row r="97" spans="1:62">
      <c r="A97" s="63" t="s">
        <v>108</v>
      </c>
      <c r="B97" s="333">
        <v>627</v>
      </c>
      <c r="C97" s="45">
        <f t="shared" si="429"/>
        <v>728</v>
      </c>
      <c r="D97" s="45">
        <f t="shared" si="430"/>
        <v>826</v>
      </c>
      <c r="E97" s="45">
        <f t="shared" si="431"/>
        <v>971</v>
      </c>
      <c r="F97" s="45">
        <f t="shared" si="432"/>
        <v>980</v>
      </c>
      <c r="G97" s="45">
        <f t="shared" si="433"/>
        <v>1051</v>
      </c>
      <c r="H97" s="45">
        <f t="shared" si="434"/>
        <v>1168</v>
      </c>
      <c r="I97" s="45">
        <f t="shared" si="435"/>
        <v>1626</v>
      </c>
      <c r="J97" s="113">
        <f t="shared" si="420"/>
        <v>728</v>
      </c>
      <c r="K97" s="113">
        <f t="shared" si="421"/>
        <v>826</v>
      </c>
      <c r="L97" s="113">
        <f t="shared" si="422"/>
        <v>971</v>
      </c>
      <c r="M97" s="234">
        <f t="shared" si="423"/>
        <v>980</v>
      </c>
      <c r="N97" s="113">
        <f t="shared" si="424"/>
        <v>1051</v>
      </c>
      <c r="O97" s="113">
        <f t="shared" si="425"/>
        <v>1168</v>
      </c>
      <c r="P97" s="237">
        <f t="shared" si="426"/>
        <v>1626</v>
      </c>
      <c r="Q97" s="281">
        <f t="shared" si="446"/>
        <v>349.44</v>
      </c>
      <c r="R97" s="282">
        <f t="shared" si="447"/>
        <v>349.44</v>
      </c>
      <c r="S97" s="236"/>
      <c r="T97" s="236">
        <v>298.83999999999997</v>
      </c>
      <c r="U97" s="236">
        <v>622.57000000000005</v>
      </c>
      <c r="V97" s="236">
        <v>707.47</v>
      </c>
      <c r="W97" s="236">
        <v>830.65</v>
      </c>
      <c r="X97" s="236">
        <v>840.39</v>
      </c>
      <c r="Y97" s="236">
        <v>901.33</v>
      </c>
      <c r="Z97" s="236">
        <v>1000.77</v>
      </c>
      <c r="AA97" s="236">
        <v>1399.39</v>
      </c>
      <c r="AC97">
        <f t="shared" si="448"/>
        <v>36.4</v>
      </c>
      <c r="AD97">
        <f t="shared" si="439"/>
        <v>41.3</v>
      </c>
      <c r="AE97">
        <f t="shared" si="440"/>
        <v>48.55</v>
      </c>
      <c r="AF97">
        <f t="shared" si="441"/>
        <v>49</v>
      </c>
      <c r="AG97">
        <f t="shared" si="442"/>
        <v>52.55</v>
      </c>
      <c r="AH97">
        <f t="shared" si="443"/>
        <v>58.4</v>
      </c>
      <c r="AI97">
        <f t="shared" si="444"/>
        <v>81.3</v>
      </c>
      <c r="AJ97">
        <f t="shared" si="428"/>
        <v>476</v>
      </c>
      <c r="AL97" s="294">
        <v>299.04000000000002</v>
      </c>
      <c r="AM97" t="str">
        <f t="shared" si="445"/>
        <v>PTO. AYACUCHO</v>
      </c>
      <c r="AN97">
        <f t="shared" si="449"/>
        <v>1397</v>
      </c>
      <c r="AO97" s="352">
        <f t="shared" si="436"/>
        <v>1213</v>
      </c>
      <c r="AP97" s="352">
        <f t="shared" si="437"/>
        <v>1281</v>
      </c>
      <c r="AQ97" s="352">
        <f t="shared" si="438"/>
        <v>437</v>
      </c>
      <c r="AR97" s="282">
        <f t="shared" si="450"/>
        <v>1397</v>
      </c>
      <c r="AS97" s="282">
        <f t="shared" si="451"/>
        <v>1213</v>
      </c>
      <c r="AT97" s="282">
        <f t="shared" si="452"/>
        <v>1281</v>
      </c>
      <c r="AU97" s="282">
        <f t="shared" si="453"/>
        <v>437</v>
      </c>
      <c r="AY97" t="s">
        <v>108</v>
      </c>
      <c r="AZ97">
        <v>627</v>
      </c>
      <c r="BA97" s="352">
        <v>436.92405866462366</v>
      </c>
      <c r="BB97" s="352">
        <v>727.81734905898543</v>
      </c>
      <c r="BC97" s="352">
        <v>825.95002533660147</v>
      </c>
      <c r="BD97" s="352">
        <v>970.81254746070124</v>
      </c>
      <c r="BE97" s="352">
        <v>979.84437087378581</v>
      </c>
      <c r="BF97" s="352">
        <v>1050.9997359015251</v>
      </c>
      <c r="BG97" s="352">
        <v>1167.6478752912612</v>
      </c>
      <c r="BH97" s="352">
        <v>1212.8094804245818</v>
      </c>
      <c r="BI97" s="352">
        <v>1281.2117663544025</v>
      </c>
      <c r="BJ97" s="352">
        <v>1626.2120112520852</v>
      </c>
    </row>
    <row r="98" spans="1:62">
      <c r="A98" s="62" t="s">
        <v>45</v>
      </c>
      <c r="B98" s="333">
        <v>693</v>
      </c>
      <c r="C98" s="45">
        <f t="shared" si="429"/>
        <v>794</v>
      </c>
      <c r="D98" s="45">
        <f t="shared" si="430"/>
        <v>898</v>
      </c>
      <c r="E98" s="45">
        <f t="shared" si="431"/>
        <v>1057</v>
      </c>
      <c r="F98" s="45">
        <f t="shared" si="432"/>
        <v>1067</v>
      </c>
      <c r="G98" s="45">
        <f t="shared" si="433"/>
        <v>1142</v>
      </c>
      <c r="H98" s="45">
        <f t="shared" si="434"/>
        <v>1269</v>
      </c>
      <c r="I98" s="45">
        <f t="shared" si="435"/>
        <v>1845</v>
      </c>
      <c r="J98" s="113">
        <f t="shared" si="420"/>
        <v>794</v>
      </c>
      <c r="K98" s="113">
        <f t="shared" si="421"/>
        <v>898</v>
      </c>
      <c r="L98" s="113">
        <f t="shared" si="422"/>
        <v>1057</v>
      </c>
      <c r="M98" s="234">
        <f t="shared" si="423"/>
        <v>1067</v>
      </c>
      <c r="N98" s="113">
        <f t="shared" si="424"/>
        <v>1142</v>
      </c>
      <c r="O98" s="113">
        <f t="shared" si="425"/>
        <v>1269</v>
      </c>
      <c r="P98" s="237">
        <f t="shared" si="426"/>
        <v>1845</v>
      </c>
      <c r="Q98" s="281">
        <f t="shared" si="446"/>
        <v>381.12</v>
      </c>
      <c r="R98" s="282">
        <f t="shared" si="447"/>
        <v>381.12</v>
      </c>
      <c r="S98" s="236"/>
      <c r="T98" s="236">
        <v>325.79000000000002</v>
      </c>
      <c r="U98" s="236">
        <v>678.72</v>
      </c>
      <c r="V98" s="236">
        <v>767.71</v>
      </c>
      <c r="W98" s="236">
        <v>903.8</v>
      </c>
      <c r="X98" s="236">
        <v>914.07</v>
      </c>
      <c r="Y98" s="236">
        <v>977.81</v>
      </c>
      <c r="Z98" s="236">
        <v>1086.82</v>
      </c>
      <c r="AA98" s="236">
        <v>1585.86</v>
      </c>
      <c r="AC98">
        <f t="shared" si="448"/>
        <v>39.700000000000003</v>
      </c>
      <c r="AD98">
        <f t="shared" si="439"/>
        <v>44.9</v>
      </c>
      <c r="AE98">
        <f t="shared" si="440"/>
        <v>52.85</v>
      </c>
      <c r="AF98">
        <f t="shared" si="441"/>
        <v>53.35</v>
      </c>
      <c r="AG98">
        <f t="shared" si="442"/>
        <v>57.1</v>
      </c>
      <c r="AH98">
        <f t="shared" si="443"/>
        <v>63.45</v>
      </c>
      <c r="AI98">
        <f t="shared" si="444"/>
        <v>92.25</v>
      </c>
      <c r="AJ98">
        <f t="shared" si="428"/>
        <v>519</v>
      </c>
      <c r="AL98" s="294">
        <v>325.91999999999996</v>
      </c>
      <c r="AM98" t="str">
        <f t="shared" si="445"/>
        <v>PTO. ORDAZ</v>
      </c>
      <c r="AN98">
        <f t="shared" si="449"/>
        <v>1557</v>
      </c>
      <c r="AO98" s="352">
        <f t="shared" si="436"/>
        <v>1326</v>
      </c>
      <c r="AP98" s="352">
        <f t="shared" si="437"/>
        <v>1412</v>
      </c>
      <c r="AQ98" s="352">
        <f t="shared" si="438"/>
        <v>476</v>
      </c>
      <c r="AR98" s="282">
        <f t="shared" si="450"/>
        <v>1557</v>
      </c>
      <c r="AS98" s="282">
        <f t="shared" si="451"/>
        <v>1326</v>
      </c>
      <c r="AT98" s="282">
        <f t="shared" si="452"/>
        <v>1412</v>
      </c>
      <c r="AU98" s="282">
        <f t="shared" si="453"/>
        <v>476</v>
      </c>
      <c r="AY98" t="s">
        <v>45</v>
      </c>
      <c r="AZ98">
        <v>693</v>
      </c>
      <c r="BA98" s="352">
        <v>475.96790464528794</v>
      </c>
      <c r="BB98" s="352">
        <v>794.05947728292517</v>
      </c>
      <c r="BC98" s="352">
        <v>898.14091097685787</v>
      </c>
      <c r="BD98" s="352">
        <v>1057.1866972956764</v>
      </c>
      <c r="BE98" s="352">
        <v>1067.2308145712057</v>
      </c>
      <c r="BF98" s="352">
        <v>1141.9603245630624</v>
      </c>
      <c r="BG98" s="352">
        <v>1269.2340212679435</v>
      </c>
      <c r="BH98" s="352">
        <v>1325.9401983809564</v>
      </c>
      <c r="BI98" s="352">
        <v>1411.7210592012686</v>
      </c>
      <c r="BJ98" s="352">
        <v>1845.3162256141518</v>
      </c>
    </row>
    <row r="99" spans="1:62">
      <c r="A99" s="62" t="s">
        <v>109</v>
      </c>
      <c r="B99" s="333">
        <v>739</v>
      </c>
      <c r="C99" s="45">
        <f t="shared" si="429"/>
        <v>866</v>
      </c>
      <c r="D99" s="45">
        <f t="shared" si="430"/>
        <v>983</v>
      </c>
      <c r="E99" s="45">
        <f t="shared" si="431"/>
        <v>1156</v>
      </c>
      <c r="F99" s="45">
        <f t="shared" si="432"/>
        <v>1162</v>
      </c>
      <c r="G99" s="45">
        <f t="shared" si="433"/>
        <v>1247</v>
      </c>
      <c r="H99" s="45">
        <f t="shared" si="434"/>
        <v>1386</v>
      </c>
      <c r="I99" s="45">
        <f t="shared" si="435"/>
        <v>1912</v>
      </c>
      <c r="J99" s="113">
        <f t="shared" si="420"/>
        <v>866</v>
      </c>
      <c r="K99" s="113">
        <f t="shared" si="421"/>
        <v>983</v>
      </c>
      <c r="L99" s="113">
        <f t="shared" si="422"/>
        <v>1156</v>
      </c>
      <c r="M99" s="234">
        <f t="shared" si="423"/>
        <v>1162</v>
      </c>
      <c r="N99" s="113">
        <f t="shared" si="424"/>
        <v>1247</v>
      </c>
      <c r="O99" s="113">
        <f t="shared" si="425"/>
        <v>1386</v>
      </c>
      <c r="P99" s="237">
        <f t="shared" si="426"/>
        <v>1912</v>
      </c>
      <c r="Q99" s="281">
        <f t="shared" si="446"/>
        <v>415.68</v>
      </c>
      <c r="R99" s="282">
        <f t="shared" si="447"/>
        <v>415.68</v>
      </c>
      <c r="S99" s="236"/>
      <c r="T99" s="236">
        <v>356.14</v>
      </c>
      <c r="U99" s="236">
        <v>741.96</v>
      </c>
      <c r="V99" s="236">
        <v>841.68</v>
      </c>
      <c r="W99" s="236">
        <v>990.41</v>
      </c>
      <c r="X99" s="236">
        <v>997.1</v>
      </c>
      <c r="Y99" s="236">
        <v>1070.17</v>
      </c>
      <c r="Z99" s="236">
        <v>1188.72</v>
      </c>
      <c r="AA99" s="236">
        <v>1645.72</v>
      </c>
      <c r="AC99">
        <f t="shared" si="448"/>
        <v>43.3</v>
      </c>
      <c r="AD99">
        <f t="shared" si="439"/>
        <v>49.15</v>
      </c>
      <c r="AE99">
        <f t="shared" si="440"/>
        <v>57.8</v>
      </c>
      <c r="AF99">
        <f t="shared" si="441"/>
        <v>58.1</v>
      </c>
      <c r="AG99">
        <f t="shared" si="442"/>
        <v>62.35</v>
      </c>
      <c r="AH99">
        <f t="shared" si="443"/>
        <v>69.3</v>
      </c>
      <c r="AI99">
        <f t="shared" si="444"/>
        <v>95.6</v>
      </c>
      <c r="AJ99">
        <f t="shared" si="428"/>
        <v>566</v>
      </c>
      <c r="AL99" s="294">
        <v>356.15999999999997</v>
      </c>
      <c r="AM99" t="str">
        <f t="shared" si="445"/>
        <v>GUIRIA</v>
      </c>
      <c r="AN99">
        <f t="shared" si="449"/>
        <v>1649</v>
      </c>
      <c r="AO99" s="352">
        <f t="shared" si="436"/>
        <v>1438</v>
      </c>
      <c r="AP99" s="352">
        <f t="shared" si="437"/>
        <v>1515</v>
      </c>
      <c r="AQ99" s="352">
        <f t="shared" si="438"/>
        <v>519</v>
      </c>
      <c r="AR99" s="282">
        <f t="shared" si="450"/>
        <v>1649</v>
      </c>
      <c r="AS99" s="282">
        <f t="shared" si="451"/>
        <v>1438</v>
      </c>
      <c r="AT99" s="282">
        <f t="shared" si="452"/>
        <v>1515</v>
      </c>
      <c r="AU99" s="282">
        <f t="shared" si="453"/>
        <v>519</v>
      </c>
      <c r="AY99" t="s">
        <v>109</v>
      </c>
      <c r="AZ99">
        <v>739</v>
      </c>
      <c r="BA99" s="352">
        <v>519.41061732809601</v>
      </c>
      <c r="BB99" s="352">
        <v>866.07343383696013</v>
      </c>
      <c r="BC99" s="352">
        <v>982.79492087698179</v>
      </c>
      <c r="BD99" s="352">
        <v>1155.5427216962139</v>
      </c>
      <c r="BE99" s="352">
        <v>1161.9830693734955</v>
      </c>
      <c r="BF99" s="352">
        <v>1247.0630734499903</v>
      </c>
      <c r="BG99" s="352">
        <v>1385.7551348897553</v>
      </c>
      <c r="BH99" s="352">
        <v>1437.614534018312</v>
      </c>
      <c r="BI99" s="352">
        <v>1515.016853893361</v>
      </c>
      <c r="BJ99" s="352">
        <v>1911.7582262297606</v>
      </c>
    </row>
    <row r="100" spans="1:62">
      <c r="A100" s="62" t="s">
        <v>110</v>
      </c>
      <c r="B100" s="333">
        <v>754</v>
      </c>
      <c r="C100" s="45">
        <f t="shared" si="429"/>
        <v>862</v>
      </c>
      <c r="D100" s="45">
        <f t="shared" si="430"/>
        <v>976</v>
      </c>
      <c r="E100" s="45">
        <f t="shared" si="431"/>
        <v>1148</v>
      </c>
      <c r="F100" s="45">
        <f t="shared" si="432"/>
        <v>1156</v>
      </c>
      <c r="G100" s="45">
        <f t="shared" si="433"/>
        <v>1239</v>
      </c>
      <c r="H100" s="45">
        <f t="shared" si="434"/>
        <v>1376</v>
      </c>
      <c r="I100" s="45">
        <f t="shared" si="435"/>
        <v>1912</v>
      </c>
      <c r="J100" s="113">
        <f t="shared" si="420"/>
        <v>862</v>
      </c>
      <c r="K100" s="113">
        <f t="shared" si="421"/>
        <v>976</v>
      </c>
      <c r="L100" s="113">
        <f t="shared" si="422"/>
        <v>1148</v>
      </c>
      <c r="M100" s="234">
        <f t="shared" si="423"/>
        <v>1156</v>
      </c>
      <c r="N100" s="113">
        <f t="shared" si="424"/>
        <v>1239</v>
      </c>
      <c r="O100" s="113">
        <f t="shared" si="425"/>
        <v>1376</v>
      </c>
      <c r="P100" s="237">
        <f t="shared" si="426"/>
        <v>1912</v>
      </c>
      <c r="Q100" s="281">
        <f t="shared" si="446"/>
        <v>413.75999999999993</v>
      </c>
      <c r="R100" s="282">
        <f t="shared" si="447"/>
        <v>413.75999999999993</v>
      </c>
      <c r="S100" s="236"/>
      <c r="T100" s="236">
        <v>352.96</v>
      </c>
      <c r="U100" s="236">
        <v>735.33</v>
      </c>
      <c r="V100" s="236">
        <v>833.26</v>
      </c>
      <c r="W100" s="236">
        <v>979.33</v>
      </c>
      <c r="X100" s="236">
        <v>987.7</v>
      </c>
      <c r="Y100" s="236">
        <v>1059.3900000000001</v>
      </c>
      <c r="Z100" s="236">
        <v>1175.68</v>
      </c>
      <c r="AA100" s="236">
        <v>1639.68</v>
      </c>
      <c r="AC100">
        <f t="shared" si="448"/>
        <v>43.1</v>
      </c>
      <c r="AD100">
        <f t="shared" si="439"/>
        <v>48.8</v>
      </c>
      <c r="AE100">
        <f t="shared" si="440"/>
        <v>57.4</v>
      </c>
      <c r="AF100">
        <f t="shared" si="441"/>
        <v>57.8</v>
      </c>
      <c r="AG100">
        <f t="shared" si="442"/>
        <v>61.95</v>
      </c>
      <c r="AH100">
        <f t="shared" si="443"/>
        <v>68.8</v>
      </c>
      <c r="AI100">
        <f t="shared" si="444"/>
        <v>95.6</v>
      </c>
      <c r="AJ100">
        <f t="shared" si="428"/>
        <v>563</v>
      </c>
      <c r="AL100" s="294">
        <v>352.8</v>
      </c>
      <c r="AM100" t="str">
        <f t="shared" si="445"/>
        <v>SAN FELIX</v>
      </c>
      <c r="AN100">
        <f t="shared" si="449"/>
        <v>1644</v>
      </c>
      <c r="AO100" s="352">
        <f t="shared" si="436"/>
        <v>1428</v>
      </c>
      <c r="AP100" s="352">
        <f t="shared" si="437"/>
        <v>1508</v>
      </c>
      <c r="AQ100" s="352">
        <f t="shared" si="438"/>
        <v>517</v>
      </c>
      <c r="AR100" s="282">
        <f t="shared" si="450"/>
        <v>1644</v>
      </c>
      <c r="AS100" s="282">
        <f t="shared" si="451"/>
        <v>1428</v>
      </c>
      <c r="AT100" s="282">
        <f t="shared" si="452"/>
        <v>1508</v>
      </c>
      <c r="AU100" s="282">
        <f t="shared" si="453"/>
        <v>517</v>
      </c>
      <c r="AY100" t="s">
        <v>110</v>
      </c>
      <c r="AZ100">
        <v>754</v>
      </c>
      <c r="BA100" s="352">
        <v>516.95220578445844</v>
      </c>
      <c r="BB100" s="352">
        <v>861.58700964076411</v>
      </c>
      <c r="BC100" s="352">
        <v>976.46527759286596</v>
      </c>
      <c r="BD100" s="352">
        <v>1147.6104522970177</v>
      </c>
      <c r="BE100" s="352">
        <v>1156.3391767441074</v>
      </c>
      <c r="BF100" s="352">
        <v>1239.4364252753132</v>
      </c>
      <c r="BG100" s="352">
        <v>1376.3713277844838</v>
      </c>
      <c r="BH100" s="352">
        <v>1428.3680021867365</v>
      </c>
      <c r="BI100" s="352">
        <v>1508.3448823758022</v>
      </c>
      <c r="BJ100" s="352">
        <v>1912.4355107795491</v>
      </c>
    </row>
    <row r="101" spans="1:62">
      <c r="A101" s="62" t="s">
        <v>111</v>
      </c>
      <c r="B101" s="333">
        <v>801</v>
      </c>
      <c r="C101" s="45">
        <f t="shared" si="429"/>
        <v>939</v>
      </c>
      <c r="D101" s="45">
        <f t="shared" si="430"/>
        <v>1063</v>
      </c>
      <c r="E101" s="45">
        <f t="shared" si="431"/>
        <v>1252</v>
      </c>
      <c r="F101" s="45">
        <f t="shared" si="432"/>
        <v>1258</v>
      </c>
      <c r="G101" s="45">
        <f t="shared" si="433"/>
        <v>1348</v>
      </c>
      <c r="H101" s="45">
        <f t="shared" si="434"/>
        <v>1499</v>
      </c>
      <c r="I101" s="45">
        <f t="shared" si="435"/>
        <v>2050</v>
      </c>
      <c r="J101" s="113">
        <f t="shared" si="420"/>
        <v>939</v>
      </c>
      <c r="K101" s="113">
        <f t="shared" si="421"/>
        <v>1063</v>
      </c>
      <c r="L101" s="113">
        <f t="shared" si="422"/>
        <v>1252</v>
      </c>
      <c r="M101" s="234">
        <f t="shared" si="423"/>
        <v>1258</v>
      </c>
      <c r="N101" s="113">
        <f t="shared" si="424"/>
        <v>1348</v>
      </c>
      <c r="O101" s="113">
        <f t="shared" si="425"/>
        <v>1499</v>
      </c>
      <c r="P101" s="237">
        <f t="shared" si="426"/>
        <v>2050</v>
      </c>
      <c r="Q101" s="281">
        <f t="shared" si="446"/>
        <v>450.71999999999997</v>
      </c>
      <c r="R101" s="282">
        <f t="shared" si="447"/>
        <v>450.71999999999997</v>
      </c>
      <c r="S101" s="236"/>
      <c r="T101" s="236">
        <v>385.86</v>
      </c>
      <c r="U101" s="236">
        <v>803.87</v>
      </c>
      <c r="V101" s="236">
        <v>910.36</v>
      </c>
      <c r="W101" s="236">
        <v>1071.83</v>
      </c>
      <c r="X101" s="236">
        <v>1078.6500000000001</v>
      </c>
      <c r="Y101" s="236">
        <v>1156.05</v>
      </c>
      <c r="Z101" s="236">
        <v>1284.5</v>
      </c>
      <c r="AA101" s="236">
        <v>1763.52</v>
      </c>
      <c r="AC101">
        <f t="shared" si="448"/>
        <v>46.95</v>
      </c>
      <c r="AD101">
        <f t="shared" si="439"/>
        <v>53.15</v>
      </c>
      <c r="AE101">
        <f t="shared" si="440"/>
        <v>62.6</v>
      </c>
      <c r="AF101">
        <f t="shared" si="441"/>
        <v>62.9</v>
      </c>
      <c r="AG101">
        <f t="shared" si="442"/>
        <v>67.400000000000006</v>
      </c>
      <c r="AH101">
        <f t="shared" si="443"/>
        <v>74.95</v>
      </c>
      <c r="AI101">
        <f t="shared" si="444"/>
        <v>102.5</v>
      </c>
      <c r="AJ101">
        <f t="shared" si="428"/>
        <v>613</v>
      </c>
      <c r="AL101" s="294">
        <v>385.91999999999996</v>
      </c>
      <c r="AM101" t="str">
        <f t="shared" si="445"/>
        <v>TUCUPITA (DELTA AMACURO)</v>
      </c>
      <c r="AN101">
        <f t="shared" si="449"/>
        <v>1775</v>
      </c>
      <c r="AO101" s="352">
        <f t="shared" si="436"/>
        <v>1553</v>
      </c>
      <c r="AP101" s="352">
        <f t="shared" si="437"/>
        <v>1635</v>
      </c>
      <c r="AQ101" s="352">
        <f t="shared" si="438"/>
        <v>563</v>
      </c>
      <c r="AR101" s="282">
        <f t="shared" si="450"/>
        <v>1775</v>
      </c>
      <c r="AS101" s="282">
        <f t="shared" si="451"/>
        <v>1553</v>
      </c>
      <c r="AT101" s="282">
        <f t="shared" si="452"/>
        <v>1635</v>
      </c>
      <c r="AU101" s="282">
        <f t="shared" si="453"/>
        <v>563</v>
      </c>
      <c r="AY101" t="s">
        <v>111</v>
      </c>
      <c r="AZ101">
        <v>801</v>
      </c>
      <c r="BA101" s="352">
        <v>562.9534623580123</v>
      </c>
      <c r="BB101" s="352">
        <v>939.03440609095821</v>
      </c>
      <c r="BC101" s="352">
        <v>1062.8374496800648</v>
      </c>
      <c r="BD101" s="352">
        <v>1252.0458747879443</v>
      </c>
      <c r="BE101" s="352">
        <v>1258.3390728231332</v>
      </c>
      <c r="BF101" s="352">
        <v>1348.1371345537923</v>
      </c>
      <c r="BG101" s="352">
        <v>1498.5780431674939</v>
      </c>
      <c r="BH101" s="352">
        <v>1552.6505346269553</v>
      </c>
      <c r="BI101" s="352">
        <v>1634.6073929263482</v>
      </c>
      <c r="BJ101" s="352">
        <v>2050.0366565424138</v>
      </c>
    </row>
    <row r="102" spans="1:62">
      <c r="A102" s="62" t="s">
        <v>112</v>
      </c>
      <c r="B102" s="333">
        <v>962</v>
      </c>
      <c r="C102" s="45">
        <f t="shared" si="429"/>
        <v>1097</v>
      </c>
      <c r="D102" s="45">
        <f t="shared" si="430"/>
        <v>1244</v>
      </c>
      <c r="E102" s="45">
        <f t="shared" si="431"/>
        <v>1462</v>
      </c>
      <c r="F102" s="45">
        <f t="shared" si="432"/>
        <v>1477</v>
      </c>
      <c r="G102" s="45">
        <f t="shared" si="433"/>
        <v>1583</v>
      </c>
      <c r="H102" s="45">
        <f t="shared" si="434"/>
        <v>1759</v>
      </c>
      <c r="I102" s="45">
        <f t="shared" si="435"/>
        <v>2375</v>
      </c>
      <c r="J102" s="113">
        <f t="shared" si="420"/>
        <v>1097</v>
      </c>
      <c r="K102" s="113">
        <f t="shared" si="421"/>
        <v>1244</v>
      </c>
      <c r="L102" s="113">
        <f t="shared" si="422"/>
        <v>1462</v>
      </c>
      <c r="M102" s="234">
        <f t="shared" si="423"/>
        <v>1477</v>
      </c>
      <c r="N102" s="113">
        <f t="shared" si="424"/>
        <v>1583</v>
      </c>
      <c r="O102" s="113">
        <f t="shared" si="425"/>
        <v>1759</v>
      </c>
      <c r="P102" s="237">
        <f t="shared" si="426"/>
        <v>2375</v>
      </c>
      <c r="Q102" s="281">
        <f t="shared" si="446"/>
        <v>526.55999999999995</v>
      </c>
      <c r="R102" s="282">
        <f t="shared" si="447"/>
        <v>526.55999999999995</v>
      </c>
      <c r="S102" s="236"/>
      <c r="T102" s="236">
        <v>448.65</v>
      </c>
      <c r="U102" s="236">
        <v>934.69</v>
      </c>
      <c r="V102" s="236">
        <v>1059.6400000000001</v>
      </c>
      <c r="W102" s="236">
        <v>1246.26</v>
      </c>
      <c r="X102" s="236">
        <v>1260.6199999999999</v>
      </c>
      <c r="Y102" s="236">
        <v>1351.33</v>
      </c>
      <c r="Z102" s="236">
        <v>1501.48</v>
      </c>
      <c r="AA102" s="236">
        <v>2035.48</v>
      </c>
      <c r="AC102">
        <f t="shared" si="448"/>
        <v>54.85</v>
      </c>
      <c r="AD102">
        <f t="shared" si="439"/>
        <v>62.2</v>
      </c>
      <c r="AE102">
        <f t="shared" si="440"/>
        <v>73.099999999999994</v>
      </c>
      <c r="AF102">
        <f t="shared" si="441"/>
        <v>73.849999999999994</v>
      </c>
      <c r="AG102">
        <f t="shared" si="442"/>
        <v>79.150000000000006</v>
      </c>
      <c r="AH102">
        <f t="shared" si="443"/>
        <v>87.95</v>
      </c>
      <c r="AI102">
        <f t="shared" si="444"/>
        <v>118.75</v>
      </c>
      <c r="AJ102">
        <f t="shared" si="428"/>
        <v>717</v>
      </c>
      <c r="AL102" s="294">
        <v>448.8</v>
      </c>
      <c r="AM102" t="str">
        <f t="shared" si="445"/>
        <v>TUMEREMO</v>
      </c>
      <c r="AN102">
        <f t="shared" si="449"/>
        <v>2067</v>
      </c>
      <c r="AO102" s="352">
        <f t="shared" si="436"/>
        <v>1818</v>
      </c>
      <c r="AP102" s="352">
        <f t="shared" si="437"/>
        <v>1911</v>
      </c>
      <c r="AQ102" s="352">
        <f t="shared" si="438"/>
        <v>658</v>
      </c>
      <c r="AR102" s="282">
        <f t="shared" si="450"/>
        <v>2067</v>
      </c>
      <c r="AS102" s="282">
        <f t="shared" si="451"/>
        <v>1818</v>
      </c>
      <c r="AT102" s="282">
        <f t="shared" si="452"/>
        <v>1911</v>
      </c>
      <c r="AU102" s="282">
        <f t="shared" si="453"/>
        <v>658</v>
      </c>
      <c r="AY102" t="s">
        <v>112</v>
      </c>
      <c r="AZ102">
        <v>962</v>
      </c>
      <c r="BA102" s="352">
        <v>658.29521493432458</v>
      </c>
      <c r="BB102" s="352">
        <v>1097.1586915572077</v>
      </c>
      <c r="BC102" s="352">
        <v>1243.8376610167275</v>
      </c>
      <c r="BD102" s="352">
        <v>1462.0959675724928</v>
      </c>
      <c r="BE102" s="352">
        <v>1477.3510616104982</v>
      </c>
      <c r="BF102" s="352">
        <v>1582.7924537952283</v>
      </c>
      <c r="BG102" s="352">
        <v>1758.5281074364452</v>
      </c>
      <c r="BH102" s="352">
        <v>1818.2650537033901</v>
      </c>
      <c r="BI102" s="352">
        <v>1910.6814592689859</v>
      </c>
      <c r="BJ102" s="352">
        <v>2375.3781874526358</v>
      </c>
    </row>
    <row r="103" spans="1:62">
      <c r="A103" s="42" t="s">
        <v>113</v>
      </c>
      <c r="B103" s="335"/>
      <c r="C103" s="45">
        <f t="shared" si="429"/>
        <v>0</v>
      </c>
      <c r="D103" s="45">
        <f t="shared" si="430"/>
        <v>0</v>
      </c>
      <c r="E103" s="45">
        <f t="shared" si="431"/>
        <v>0</v>
      </c>
      <c r="F103" s="45">
        <f t="shared" si="432"/>
        <v>0</v>
      </c>
      <c r="G103" s="45">
        <f t="shared" si="433"/>
        <v>0</v>
      </c>
      <c r="H103" s="45">
        <f t="shared" si="434"/>
        <v>0</v>
      </c>
      <c r="I103" s="45">
        <f t="shared" si="435"/>
        <v>0</v>
      </c>
      <c r="J103" s="243"/>
      <c r="K103" s="243"/>
      <c r="L103" s="243"/>
      <c r="M103" s="244"/>
      <c r="N103" s="243"/>
      <c r="O103" s="243"/>
      <c r="P103" s="245"/>
      <c r="Q103" s="245"/>
      <c r="R103" s="245"/>
      <c r="S103" s="236"/>
      <c r="T103" s="245"/>
      <c r="U103" s="245"/>
      <c r="V103" s="245"/>
      <c r="W103" s="245"/>
      <c r="X103" s="245"/>
      <c r="Y103" s="245"/>
      <c r="Z103" s="245"/>
      <c r="AA103" s="245"/>
      <c r="AC103">
        <f t="shared" si="448"/>
        <v>0</v>
      </c>
      <c r="AD103">
        <f t="shared" si="439"/>
        <v>0</v>
      </c>
      <c r="AE103">
        <f t="shared" si="440"/>
        <v>0</v>
      </c>
      <c r="AF103">
        <f t="shared" si="441"/>
        <v>0</v>
      </c>
      <c r="AG103">
        <f t="shared" si="442"/>
        <v>0</v>
      </c>
      <c r="AH103">
        <f t="shared" si="443"/>
        <v>0</v>
      </c>
      <c r="AI103">
        <f t="shared" si="444"/>
        <v>0</v>
      </c>
      <c r="AJ103">
        <f t="shared" si="428"/>
        <v>0</v>
      </c>
      <c r="AL103" s="294"/>
      <c r="AM103" t="str">
        <f t="shared" si="445"/>
        <v>Región Occidente</v>
      </c>
      <c r="AN103">
        <f t="shared" si="449"/>
        <v>0</v>
      </c>
      <c r="AO103" s="352">
        <f t="shared" si="436"/>
        <v>0</v>
      </c>
      <c r="AP103" s="352">
        <f t="shared" si="437"/>
        <v>0</v>
      </c>
      <c r="AQ103" s="352">
        <f t="shared" si="438"/>
        <v>0</v>
      </c>
      <c r="AR103" s="282">
        <f t="shared" si="450"/>
        <v>0</v>
      </c>
      <c r="AS103" s="282">
        <f t="shared" si="451"/>
        <v>0</v>
      </c>
      <c r="AT103" s="282">
        <f t="shared" si="452"/>
        <v>0</v>
      </c>
      <c r="AU103" s="282">
        <f t="shared" si="453"/>
        <v>0</v>
      </c>
    </row>
    <row r="104" spans="1:62">
      <c r="A104" s="62" t="s">
        <v>331</v>
      </c>
      <c r="B104" s="333">
        <v>723</v>
      </c>
      <c r="C104" s="45">
        <f t="shared" si="429"/>
        <v>840</v>
      </c>
      <c r="D104" s="45">
        <f t="shared" si="430"/>
        <v>953</v>
      </c>
      <c r="E104" s="45">
        <f t="shared" si="431"/>
        <v>1119</v>
      </c>
      <c r="F104" s="45">
        <f t="shared" si="432"/>
        <v>1110</v>
      </c>
      <c r="G104" s="45">
        <f t="shared" si="433"/>
        <v>1190</v>
      </c>
      <c r="H104" s="45">
        <f t="shared" si="434"/>
        <v>1322</v>
      </c>
      <c r="I104" s="45">
        <f t="shared" si="435"/>
        <v>1821</v>
      </c>
      <c r="J104" s="113">
        <f t="shared" ref="J104:P114" si="454">C104*$M$1</f>
        <v>840</v>
      </c>
      <c r="K104" s="113">
        <f t="shared" si="454"/>
        <v>953</v>
      </c>
      <c r="L104" s="113">
        <f t="shared" si="454"/>
        <v>1119</v>
      </c>
      <c r="M104" s="234">
        <f t="shared" si="454"/>
        <v>1110</v>
      </c>
      <c r="N104" s="113">
        <f t="shared" si="454"/>
        <v>1190</v>
      </c>
      <c r="O104" s="113">
        <f t="shared" si="454"/>
        <v>1322</v>
      </c>
      <c r="P104" s="237">
        <f t="shared" si="454"/>
        <v>1821</v>
      </c>
      <c r="Q104" s="281">
        <f t="shared" si="446"/>
        <v>403.2</v>
      </c>
      <c r="R104" s="282">
        <f t="shared" si="447"/>
        <v>403.2</v>
      </c>
      <c r="S104" s="236"/>
      <c r="T104" s="236">
        <v>171.14</v>
      </c>
      <c r="U104" s="236">
        <v>356.54</v>
      </c>
      <c r="V104" s="236">
        <v>404.28</v>
      </c>
      <c r="W104" s="236">
        <v>475.89</v>
      </c>
      <c r="X104" s="236">
        <v>481.15</v>
      </c>
      <c r="Y104" s="236">
        <v>515.62</v>
      </c>
      <c r="Z104" s="236">
        <v>571.63</v>
      </c>
      <c r="AA104" s="236">
        <v>792.56</v>
      </c>
      <c r="AC104">
        <f t="shared" si="448"/>
        <v>42</v>
      </c>
      <c r="AD104">
        <f t="shared" si="439"/>
        <v>47.65</v>
      </c>
      <c r="AE104">
        <f t="shared" si="440"/>
        <v>55.95</v>
      </c>
      <c r="AF104">
        <f t="shared" si="441"/>
        <v>55.5</v>
      </c>
      <c r="AG104">
        <f t="shared" si="442"/>
        <v>59.5</v>
      </c>
      <c r="AH104">
        <f t="shared" si="443"/>
        <v>66.099999999999994</v>
      </c>
      <c r="AI104">
        <f t="shared" si="444"/>
        <v>91.05</v>
      </c>
      <c r="AJ104">
        <f t="shared" si="428"/>
        <v>549</v>
      </c>
      <c r="AL104" s="294">
        <v>171.35999999999999</v>
      </c>
      <c r="AM104" t="str">
        <f t="shared" si="445"/>
        <v>MICHELENA</v>
      </c>
      <c r="AN104">
        <f t="shared" si="449"/>
        <v>1572</v>
      </c>
      <c r="AO104" s="352">
        <f t="shared" si="436"/>
        <v>1371</v>
      </c>
      <c r="AP104" s="352">
        <f t="shared" si="437"/>
        <v>1446</v>
      </c>
      <c r="AQ104" s="352">
        <f t="shared" si="438"/>
        <v>504</v>
      </c>
      <c r="AR104" s="282">
        <f t="shared" si="450"/>
        <v>1572</v>
      </c>
      <c r="AS104" s="282">
        <f t="shared" si="451"/>
        <v>1371</v>
      </c>
      <c r="AT104" s="282">
        <f t="shared" si="452"/>
        <v>1446</v>
      </c>
      <c r="AU104" s="282">
        <f t="shared" si="453"/>
        <v>504</v>
      </c>
      <c r="AY104" t="s">
        <v>331</v>
      </c>
      <c r="AZ104">
        <v>723</v>
      </c>
      <c r="BA104" s="352">
        <v>503.73193909058665</v>
      </c>
      <c r="BB104" s="352">
        <v>839.60756084376806</v>
      </c>
      <c r="BC104" s="352">
        <v>952.53723277012296</v>
      </c>
      <c r="BD104" s="352">
        <v>1119.4767477916907</v>
      </c>
      <c r="BE104" s="352">
        <v>1110.4000872156485</v>
      </c>
      <c r="BF104" s="352">
        <v>1190.0645526339897</v>
      </c>
      <c r="BG104" s="352">
        <v>1322.4301259444644</v>
      </c>
      <c r="BH104" s="352">
        <v>1371.4316265858176</v>
      </c>
      <c r="BI104" s="352">
        <v>1445.6042464030925</v>
      </c>
      <c r="BJ104" s="352">
        <v>1820.7549155189358</v>
      </c>
    </row>
    <row r="105" spans="1:62">
      <c r="A105" s="62" t="s">
        <v>115</v>
      </c>
      <c r="B105" s="333">
        <v>415</v>
      </c>
      <c r="C105" s="45">
        <f t="shared" si="429"/>
        <v>502</v>
      </c>
      <c r="D105" s="45">
        <f t="shared" si="430"/>
        <v>568</v>
      </c>
      <c r="E105" s="45">
        <f t="shared" si="431"/>
        <v>669</v>
      </c>
      <c r="F105" s="45">
        <f t="shared" si="432"/>
        <v>672</v>
      </c>
      <c r="G105" s="45">
        <f t="shared" si="433"/>
        <v>718</v>
      </c>
      <c r="H105" s="45">
        <f t="shared" si="434"/>
        <v>800</v>
      </c>
      <c r="I105" s="45">
        <f t="shared" si="435"/>
        <v>1091</v>
      </c>
      <c r="J105" s="113">
        <f t="shared" si="454"/>
        <v>502</v>
      </c>
      <c r="K105" s="113">
        <f t="shared" si="454"/>
        <v>568</v>
      </c>
      <c r="L105" s="113">
        <f t="shared" si="454"/>
        <v>669</v>
      </c>
      <c r="M105" s="234">
        <f t="shared" si="454"/>
        <v>672</v>
      </c>
      <c r="N105" s="113">
        <f t="shared" si="454"/>
        <v>718</v>
      </c>
      <c r="O105" s="113">
        <f t="shared" si="454"/>
        <v>800</v>
      </c>
      <c r="P105" s="237">
        <f t="shared" si="454"/>
        <v>1091</v>
      </c>
      <c r="Q105" s="281">
        <f t="shared" si="446"/>
        <v>240.95999999999998</v>
      </c>
      <c r="R105" s="282">
        <f t="shared" si="447"/>
        <v>240.95999999999998</v>
      </c>
      <c r="S105" s="236"/>
      <c r="T105" s="236">
        <v>207.39</v>
      </c>
      <c r="U105" s="236">
        <v>432.06</v>
      </c>
      <c r="V105" s="236">
        <v>488.83</v>
      </c>
      <c r="W105" s="236">
        <v>575.55999999999995</v>
      </c>
      <c r="X105" s="236">
        <v>578.61</v>
      </c>
      <c r="Y105" s="236">
        <v>619.4</v>
      </c>
      <c r="Z105" s="236">
        <v>688.89</v>
      </c>
      <c r="AA105" s="236">
        <v>943.36</v>
      </c>
      <c r="AC105">
        <f t="shared" si="448"/>
        <v>25.1</v>
      </c>
      <c r="AD105">
        <f t="shared" si="439"/>
        <v>28.4</v>
      </c>
      <c r="AE105">
        <f t="shared" si="440"/>
        <v>33.450000000000003</v>
      </c>
      <c r="AF105">
        <f t="shared" si="441"/>
        <v>33.6</v>
      </c>
      <c r="AG105">
        <f t="shared" si="442"/>
        <v>35.9</v>
      </c>
      <c r="AH105">
        <f t="shared" si="443"/>
        <v>40</v>
      </c>
      <c r="AI105">
        <f t="shared" si="444"/>
        <v>54.55</v>
      </c>
      <c r="AJ105">
        <f t="shared" si="428"/>
        <v>328</v>
      </c>
      <c r="AL105" s="294">
        <v>207.35999999999999</v>
      </c>
      <c r="AM105" t="str">
        <f t="shared" si="445"/>
        <v>PUNTO FIJO/AMUAY</v>
      </c>
      <c r="AN105">
        <f t="shared" si="449"/>
        <v>946</v>
      </c>
      <c r="AO105" s="352">
        <f t="shared" si="436"/>
        <v>828</v>
      </c>
      <c r="AP105" s="352">
        <f t="shared" si="437"/>
        <v>872</v>
      </c>
      <c r="AQ105" s="352">
        <f t="shared" si="438"/>
        <v>301</v>
      </c>
      <c r="AR105" s="282">
        <f t="shared" si="450"/>
        <v>946</v>
      </c>
      <c r="AS105" s="282">
        <f t="shared" si="451"/>
        <v>828</v>
      </c>
      <c r="AT105" s="282">
        <f t="shared" si="452"/>
        <v>872</v>
      </c>
      <c r="AU105" s="282">
        <f t="shared" si="453"/>
        <v>301</v>
      </c>
      <c r="AY105" t="s">
        <v>115</v>
      </c>
      <c r="AZ105">
        <v>415</v>
      </c>
      <c r="BA105" s="352">
        <v>301.03922991134738</v>
      </c>
      <c r="BB105" s="352">
        <v>502.11948772857932</v>
      </c>
      <c r="BC105" s="352">
        <v>568.37136458165583</v>
      </c>
      <c r="BD105" s="352">
        <v>669.4926503047725</v>
      </c>
      <c r="BE105" s="352">
        <v>672.03786426505576</v>
      </c>
      <c r="BF105" s="352">
        <v>718.46535057006827</v>
      </c>
      <c r="BG105" s="352">
        <v>799.71345160383999</v>
      </c>
      <c r="BH105" s="352">
        <v>827.77657165509027</v>
      </c>
      <c r="BI105" s="352">
        <v>872.03438374536654</v>
      </c>
      <c r="BJ105" s="352">
        <v>1090.9492882001798</v>
      </c>
    </row>
    <row r="106" spans="1:62">
      <c r="A106" s="62" t="s">
        <v>116</v>
      </c>
      <c r="B106" s="333">
        <v>543</v>
      </c>
      <c r="C106" s="45">
        <f t="shared" si="429"/>
        <v>646</v>
      </c>
      <c r="D106" s="45">
        <f t="shared" si="430"/>
        <v>731</v>
      </c>
      <c r="E106" s="45">
        <f t="shared" si="431"/>
        <v>862</v>
      </c>
      <c r="F106" s="45">
        <f t="shared" si="432"/>
        <v>851</v>
      </c>
      <c r="G106" s="45">
        <f t="shared" si="433"/>
        <v>910</v>
      </c>
      <c r="H106" s="45">
        <f t="shared" si="434"/>
        <v>1012</v>
      </c>
      <c r="I106" s="45">
        <f t="shared" si="435"/>
        <v>1349</v>
      </c>
      <c r="J106" s="113">
        <f t="shared" si="454"/>
        <v>646</v>
      </c>
      <c r="K106" s="113">
        <f t="shared" si="454"/>
        <v>731</v>
      </c>
      <c r="L106" s="113">
        <f t="shared" si="454"/>
        <v>862</v>
      </c>
      <c r="M106" s="234">
        <f t="shared" si="454"/>
        <v>851</v>
      </c>
      <c r="N106" s="113">
        <f t="shared" si="454"/>
        <v>910</v>
      </c>
      <c r="O106" s="113">
        <f t="shared" si="454"/>
        <v>1012</v>
      </c>
      <c r="P106" s="237">
        <f t="shared" si="454"/>
        <v>1349</v>
      </c>
      <c r="Q106" s="281">
        <f t="shared" si="446"/>
        <v>310.08</v>
      </c>
      <c r="R106" s="282">
        <f t="shared" si="447"/>
        <v>310.08</v>
      </c>
      <c r="S106" s="236"/>
      <c r="T106" s="236">
        <v>265.64</v>
      </c>
      <c r="U106" s="236">
        <v>553.41999999999996</v>
      </c>
      <c r="V106" s="236">
        <v>625.39</v>
      </c>
      <c r="W106" s="236">
        <v>737.36</v>
      </c>
      <c r="X106" s="236">
        <v>728.92</v>
      </c>
      <c r="Y106" s="236">
        <v>780.13</v>
      </c>
      <c r="Z106" s="236">
        <v>867.48</v>
      </c>
      <c r="AA106" s="236">
        <v>1160.48</v>
      </c>
      <c r="AC106">
        <f t="shared" si="448"/>
        <v>32.299999999999997</v>
      </c>
      <c r="AD106">
        <f t="shared" si="439"/>
        <v>36.549999999999997</v>
      </c>
      <c r="AE106">
        <f t="shared" si="440"/>
        <v>43.1</v>
      </c>
      <c r="AF106">
        <f t="shared" si="441"/>
        <v>42.55</v>
      </c>
      <c r="AG106">
        <f t="shared" si="442"/>
        <v>45.5</v>
      </c>
      <c r="AH106">
        <f t="shared" si="443"/>
        <v>50.6</v>
      </c>
      <c r="AI106">
        <f t="shared" si="444"/>
        <v>67.45</v>
      </c>
      <c r="AJ106">
        <f t="shared" si="428"/>
        <v>422</v>
      </c>
      <c r="AL106" s="294">
        <v>265.44</v>
      </c>
      <c r="AM106" t="str">
        <f t="shared" si="445"/>
        <v>CABIMAS</v>
      </c>
      <c r="AN106">
        <f t="shared" si="449"/>
        <v>1181</v>
      </c>
      <c r="AO106" s="352">
        <f t="shared" si="436"/>
        <v>1045</v>
      </c>
      <c r="AP106" s="352">
        <f t="shared" si="437"/>
        <v>1095</v>
      </c>
      <c r="AQ106" s="352">
        <f t="shared" si="438"/>
        <v>388</v>
      </c>
      <c r="AR106" s="282">
        <f t="shared" si="450"/>
        <v>1181</v>
      </c>
      <c r="AS106" s="282">
        <f t="shared" si="451"/>
        <v>1045</v>
      </c>
      <c r="AT106" s="282">
        <f t="shared" si="452"/>
        <v>1095</v>
      </c>
      <c r="AU106" s="282">
        <f t="shared" si="453"/>
        <v>388</v>
      </c>
      <c r="AY106" t="s">
        <v>116</v>
      </c>
      <c r="AZ106">
        <v>543</v>
      </c>
      <c r="BA106" s="352">
        <v>388.11911594844992</v>
      </c>
      <c r="BB106" s="352">
        <v>646.47551542015901</v>
      </c>
      <c r="BC106" s="352">
        <v>730.6459261077747</v>
      </c>
      <c r="BD106" s="352">
        <v>861.57767606628795</v>
      </c>
      <c r="BE106" s="352">
        <v>850.96335431863747</v>
      </c>
      <c r="BF106" s="352">
        <v>910.49577005286312</v>
      </c>
      <c r="BG106" s="352">
        <v>1012.0510674818363</v>
      </c>
      <c r="BH106" s="352">
        <v>1044.6074183012215</v>
      </c>
      <c r="BI106" s="352">
        <v>1094.609754351615</v>
      </c>
      <c r="BJ106" s="352">
        <v>1349.2934561875263</v>
      </c>
    </row>
    <row r="107" spans="1:62">
      <c r="A107" s="62" t="s">
        <v>49</v>
      </c>
      <c r="B107" s="333">
        <v>590</v>
      </c>
      <c r="C107" s="45">
        <f t="shared" si="429"/>
        <v>683</v>
      </c>
      <c r="D107" s="45">
        <f t="shared" si="430"/>
        <v>776</v>
      </c>
      <c r="E107" s="45">
        <f t="shared" si="431"/>
        <v>912</v>
      </c>
      <c r="F107" s="45">
        <f t="shared" si="432"/>
        <v>900</v>
      </c>
      <c r="G107" s="45">
        <f t="shared" si="433"/>
        <v>964</v>
      </c>
      <c r="H107" s="45">
        <f t="shared" si="434"/>
        <v>1071</v>
      </c>
      <c r="I107" s="45">
        <f t="shared" si="435"/>
        <v>1493</v>
      </c>
      <c r="J107" s="113">
        <f t="shared" si="454"/>
        <v>683</v>
      </c>
      <c r="K107" s="113">
        <f t="shared" si="454"/>
        <v>776</v>
      </c>
      <c r="L107" s="113">
        <f t="shared" si="454"/>
        <v>912</v>
      </c>
      <c r="M107" s="234">
        <f t="shared" si="454"/>
        <v>900</v>
      </c>
      <c r="N107" s="113">
        <f t="shared" si="454"/>
        <v>964</v>
      </c>
      <c r="O107" s="113">
        <f t="shared" si="454"/>
        <v>1071</v>
      </c>
      <c r="P107" s="237">
        <f t="shared" si="454"/>
        <v>1493</v>
      </c>
      <c r="Q107" s="281">
        <f t="shared" si="446"/>
        <v>327.84000000000003</v>
      </c>
      <c r="R107" s="282">
        <f t="shared" si="447"/>
        <v>327.84000000000003</v>
      </c>
      <c r="S107" s="236"/>
      <c r="T107" s="236">
        <v>279.86</v>
      </c>
      <c r="U107" s="236">
        <v>583.04</v>
      </c>
      <c r="V107" s="236">
        <v>661.66</v>
      </c>
      <c r="W107" s="236">
        <v>777.94</v>
      </c>
      <c r="X107" s="236">
        <v>768.85</v>
      </c>
      <c r="Y107" s="236">
        <v>824.31</v>
      </c>
      <c r="Z107" s="236">
        <v>915.22</v>
      </c>
      <c r="AA107" s="236">
        <v>1280.3900000000001</v>
      </c>
      <c r="AC107">
        <f t="shared" si="448"/>
        <v>34.15</v>
      </c>
      <c r="AD107">
        <f t="shared" si="439"/>
        <v>38.799999999999997</v>
      </c>
      <c r="AE107">
        <f t="shared" si="440"/>
        <v>45.6</v>
      </c>
      <c r="AF107">
        <f t="shared" si="441"/>
        <v>45</v>
      </c>
      <c r="AG107">
        <f t="shared" si="442"/>
        <v>48.2</v>
      </c>
      <c r="AH107">
        <f t="shared" si="443"/>
        <v>53.55</v>
      </c>
      <c r="AI107">
        <f t="shared" si="444"/>
        <v>74.650000000000006</v>
      </c>
      <c r="AJ107">
        <f t="shared" si="428"/>
        <v>446</v>
      </c>
      <c r="AL107" s="294">
        <v>279.84000000000003</v>
      </c>
      <c r="AM107" t="str">
        <f t="shared" si="445"/>
        <v>MARACAIBO</v>
      </c>
      <c r="AN107">
        <f t="shared" si="449"/>
        <v>1282</v>
      </c>
      <c r="AO107" s="352">
        <f t="shared" si="436"/>
        <v>1113</v>
      </c>
      <c r="AP107" s="352">
        <f t="shared" si="437"/>
        <v>1174</v>
      </c>
      <c r="AQ107" s="352">
        <f t="shared" si="438"/>
        <v>410</v>
      </c>
      <c r="AR107" s="282">
        <f t="shared" si="450"/>
        <v>1282</v>
      </c>
      <c r="AS107" s="282">
        <f t="shared" si="451"/>
        <v>1113</v>
      </c>
      <c r="AT107" s="282">
        <f t="shared" si="452"/>
        <v>1174</v>
      </c>
      <c r="AU107" s="282">
        <f t="shared" si="453"/>
        <v>410</v>
      </c>
      <c r="AY107" t="s">
        <v>49</v>
      </c>
      <c r="AZ107">
        <v>590</v>
      </c>
      <c r="BA107" s="352">
        <v>410.25264224006031</v>
      </c>
      <c r="BB107" s="352">
        <v>683.36368693130044</v>
      </c>
      <c r="BC107" s="352">
        <v>775.96356903691401</v>
      </c>
      <c r="BD107" s="352">
        <v>911.93301617933412</v>
      </c>
      <c r="BE107" s="352">
        <v>899.98842492992037</v>
      </c>
      <c r="BF107" s="352">
        <v>964.35690785728787</v>
      </c>
      <c r="BG107" s="352">
        <v>1070.8574887007505</v>
      </c>
      <c r="BH107" s="352">
        <v>1112.7177602637523</v>
      </c>
      <c r="BI107" s="352">
        <v>1174.3918905756304</v>
      </c>
      <c r="BJ107" s="352">
        <v>1492.5452898132608</v>
      </c>
    </row>
    <row r="108" spans="1:62">
      <c r="A108" s="62" t="s">
        <v>117</v>
      </c>
      <c r="B108" s="333">
        <v>617</v>
      </c>
      <c r="C108" s="45">
        <f t="shared" si="429"/>
        <v>727</v>
      </c>
      <c r="D108" s="45">
        <f t="shared" si="430"/>
        <v>824</v>
      </c>
      <c r="E108" s="45">
        <f t="shared" si="431"/>
        <v>971</v>
      </c>
      <c r="F108" s="45">
        <f t="shared" si="432"/>
        <v>980</v>
      </c>
      <c r="G108" s="45">
        <f t="shared" si="433"/>
        <v>1051</v>
      </c>
      <c r="H108" s="45">
        <f t="shared" si="434"/>
        <v>1168</v>
      </c>
      <c r="I108" s="45">
        <f t="shared" si="435"/>
        <v>1563</v>
      </c>
      <c r="J108" s="113">
        <f t="shared" si="454"/>
        <v>727</v>
      </c>
      <c r="K108" s="113">
        <f t="shared" si="454"/>
        <v>824</v>
      </c>
      <c r="L108" s="113">
        <f t="shared" si="454"/>
        <v>971</v>
      </c>
      <c r="M108" s="234">
        <f t="shared" si="454"/>
        <v>980</v>
      </c>
      <c r="N108" s="113">
        <f t="shared" si="454"/>
        <v>1051</v>
      </c>
      <c r="O108" s="113">
        <f t="shared" si="454"/>
        <v>1168</v>
      </c>
      <c r="P108" s="237">
        <f t="shared" si="454"/>
        <v>1563</v>
      </c>
      <c r="Q108" s="281">
        <f t="shared" si="446"/>
        <v>348.96</v>
      </c>
      <c r="R108" s="282">
        <f t="shared" si="447"/>
        <v>348.96</v>
      </c>
      <c r="S108" s="236"/>
      <c r="T108" s="236">
        <v>298.97000000000003</v>
      </c>
      <c r="U108" s="236">
        <v>622.86</v>
      </c>
      <c r="V108" s="236">
        <v>706.02</v>
      </c>
      <c r="W108" s="236">
        <v>831.62</v>
      </c>
      <c r="X108" s="236">
        <v>841.47</v>
      </c>
      <c r="Y108" s="236">
        <v>902.04</v>
      </c>
      <c r="Z108" s="236">
        <v>1001.9</v>
      </c>
      <c r="AA108" s="236">
        <v>1346.4</v>
      </c>
      <c r="AC108">
        <f t="shared" si="448"/>
        <v>36.35</v>
      </c>
      <c r="AD108">
        <f t="shared" si="439"/>
        <v>41.2</v>
      </c>
      <c r="AE108">
        <f t="shared" si="440"/>
        <v>48.55</v>
      </c>
      <c r="AF108">
        <f t="shared" si="441"/>
        <v>49</v>
      </c>
      <c r="AG108">
        <f t="shared" si="442"/>
        <v>52.55</v>
      </c>
      <c r="AH108">
        <f t="shared" si="443"/>
        <v>58.4</v>
      </c>
      <c r="AI108">
        <f t="shared" si="444"/>
        <v>78.150000000000006</v>
      </c>
      <c r="AJ108">
        <f t="shared" si="428"/>
        <v>475</v>
      </c>
      <c r="AL108" s="294">
        <v>299.04000000000002</v>
      </c>
      <c r="AM108" t="str">
        <f t="shared" si="445"/>
        <v>CUATRO BOCAS (NORTE ZULIA)</v>
      </c>
      <c r="AN108">
        <f t="shared" si="449"/>
        <v>1366</v>
      </c>
      <c r="AO108" s="352">
        <f t="shared" si="436"/>
        <v>1206</v>
      </c>
      <c r="AP108" s="352">
        <f t="shared" si="437"/>
        <v>1265</v>
      </c>
      <c r="AQ108" s="352">
        <f t="shared" si="438"/>
        <v>436</v>
      </c>
      <c r="AR108" s="282">
        <f t="shared" si="450"/>
        <v>1366</v>
      </c>
      <c r="AS108" s="282">
        <f t="shared" si="451"/>
        <v>1206</v>
      </c>
      <c r="AT108" s="282">
        <f t="shared" si="452"/>
        <v>1265</v>
      </c>
      <c r="AU108" s="282">
        <f t="shared" si="453"/>
        <v>436</v>
      </c>
      <c r="AY108" t="s">
        <v>117</v>
      </c>
      <c r="AZ108">
        <v>617</v>
      </c>
      <c r="BA108" s="352">
        <v>436.45245588762566</v>
      </c>
      <c r="BB108" s="352">
        <v>727.03176475398607</v>
      </c>
      <c r="BC108" s="352">
        <v>823.89153437610616</v>
      </c>
      <c r="BD108" s="352">
        <v>970.93166657354152</v>
      </c>
      <c r="BE108" s="352">
        <v>979.98659789494263</v>
      </c>
      <c r="BF108" s="352">
        <v>1051.0676709883928</v>
      </c>
      <c r="BG108" s="352">
        <v>1167.5940203219175</v>
      </c>
      <c r="BH108" s="352">
        <v>1205.7581727290467</v>
      </c>
      <c r="BI108" s="352">
        <v>1264.8229633944084</v>
      </c>
      <c r="BJ108" s="352">
        <v>1563.0628890074879</v>
      </c>
    </row>
    <row r="109" spans="1:62" ht="18.75" customHeight="1">
      <c r="A109" s="62" t="s">
        <v>118</v>
      </c>
      <c r="B109" s="333">
        <v>679</v>
      </c>
      <c r="C109" s="45">
        <f t="shared" si="429"/>
        <v>766</v>
      </c>
      <c r="D109" s="45">
        <f t="shared" si="430"/>
        <v>866</v>
      </c>
      <c r="E109" s="45">
        <f t="shared" si="431"/>
        <v>1019</v>
      </c>
      <c r="F109" s="45">
        <f t="shared" si="432"/>
        <v>1030</v>
      </c>
      <c r="G109" s="45">
        <f t="shared" si="433"/>
        <v>1102</v>
      </c>
      <c r="H109" s="45">
        <f t="shared" si="434"/>
        <v>1225</v>
      </c>
      <c r="I109" s="45">
        <f t="shared" si="435"/>
        <v>1633</v>
      </c>
      <c r="J109" s="113">
        <f t="shared" si="454"/>
        <v>766</v>
      </c>
      <c r="K109" s="113">
        <f t="shared" si="454"/>
        <v>866</v>
      </c>
      <c r="L109" s="113">
        <f t="shared" si="454"/>
        <v>1019</v>
      </c>
      <c r="M109" s="234">
        <f t="shared" si="454"/>
        <v>1030</v>
      </c>
      <c r="N109" s="113">
        <f t="shared" si="454"/>
        <v>1102</v>
      </c>
      <c r="O109" s="113">
        <f t="shared" si="454"/>
        <v>1225</v>
      </c>
      <c r="P109" s="237">
        <f t="shared" si="454"/>
        <v>1633</v>
      </c>
      <c r="Q109" s="281">
        <f t="shared" si="446"/>
        <v>367.67999999999995</v>
      </c>
      <c r="R109" s="282">
        <f t="shared" si="447"/>
        <v>367.67999999999995</v>
      </c>
      <c r="S109" s="236"/>
      <c r="T109" s="236">
        <v>312.27</v>
      </c>
      <c r="U109" s="236">
        <v>650.57000000000005</v>
      </c>
      <c r="V109" s="236">
        <v>735.86</v>
      </c>
      <c r="W109" s="236">
        <v>866.31</v>
      </c>
      <c r="X109" s="236">
        <v>876.98</v>
      </c>
      <c r="Y109" s="236">
        <v>938.13</v>
      </c>
      <c r="Z109" s="236">
        <v>1042.72</v>
      </c>
      <c r="AA109" s="236">
        <v>1394.72</v>
      </c>
      <c r="AC109">
        <f t="shared" si="448"/>
        <v>38.299999999999997</v>
      </c>
      <c r="AD109">
        <f t="shared" si="439"/>
        <v>43.3</v>
      </c>
      <c r="AE109">
        <f t="shared" si="440"/>
        <v>50.95</v>
      </c>
      <c r="AF109">
        <f t="shared" si="441"/>
        <v>51.5</v>
      </c>
      <c r="AG109">
        <f t="shared" si="442"/>
        <v>55.1</v>
      </c>
      <c r="AH109">
        <f t="shared" si="443"/>
        <v>61.25</v>
      </c>
      <c r="AI109">
        <f t="shared" si="444"/>
        <v>81.650000000000006</v>
      </c>
      <c r="AJ109">
        <f t="shared" si="428"/>
        <v>500</v>
      </c>
      <c r="AL109" s="294">
        <v>312.47999999999996</v>
      </c>
      <c r="AM109" t="str">
        <f t="shared" si="445"/>
        <v>STA BARBRA/COLON (SUR OEST- ZUL)</v>
      </c>
      <c r="AN109">
        <f t="shared" si="449"/>
        <v>1429</v>
      </c>
      <c r="AO109" s="352">
        <f t="shared" si="436"/>
        <v>1265</v>
      </c>
      <c r="AP109" s="352">
        <f t="shared" si="437"/>
        <v>1325</v>
      </c>
      <c r="AQ109" s="352">
        <f t="shared" si="438"/>
        <v>460</v>
      </c>
      <c r="AR109" s="282">
        <f t="shared" si="450"/>
        <v>1429</v>
      </c>
      <c r="AS109" s="282">
        <f t="shared" si="451"/>
        <v>1265</v>
      </c>
      <c r="AT109" s="282">
        <f t="shared" si="452"/>
        <v>1325</v>
      </c>
      <c r="AU109" s="282">
        <f t="shared" si="453"/>
        <v>460</v>
      </c>
      <c r="AY109" t="s">
        <v>118</v>
      </c>
      <c r="AZ109">
        <v>679</v>
      </c>
      <c r="BA109" s="352">
        <v>460.10622465150522</v>
      </c>
      <c r="BB109" s="352">
        <v>766.05921291081813</v>
      </c>
      <c r="BC109" s="352">
        <v>866.08230522636279</v>
      </c>
      <c r="BD109" s="352">
        <v>1019.0587993560192</v>
      </c>
      <c r="BE109" s="352">
        <v>1030.314558472109</v>
      </c>
      <c r="BF109" s="352">
        <v>1101.9783989131563</v>
      </c>
      <c r="BG109" s="352">
        <v>1225.334189836271</v>
      </c>
      <c r="BH109" s="352">
        <v>1264.7616064532838</v>
      </c>
      <c r="BI109" s="352">
        <v>1325.2535889313715</v>
      </c>
      <c r="BJ109" s="352">
        <v>1632.639399747364</v>
      </c>
    </row>
    <row r="110" spans="1:62" ht="15.75" customHeight="1">
      <c r="A110" s="62" t="s">
        <v>119</v>
      </c>
      <c r="B110" s="333">
        <v>706</v>
      </c>
      <c r="C110" s="45">
        <f t="shared" si="429"/>
        <v>844</v>
      </c>
      <c r="D110" s="45">
        <f t="shared" si="430"/>
        <v>955</v>
      </c>
      <c r="E110" s="45">
        <f t="shared" si="431"/>
        <v>1124</v>
      </c>
      <c r="F110" s="45">
        <f t="shared" si="432"/>
        <v>1110</v>
      </c>
      <c r="G110" s="45">
        <f t="shared" si="433"/>
        <v>1188</v>
      </c>
      <c r="H110" s="45">
        <f t="shared" si="434"/>
        <v>1320</v>
      </c>
      <c r="I110" s="45">
        <f t="shared" si="435"/>
        <v>1755</v>
      </c>
      <c r="J110" s="113">
        <f t="shared" si="454"/>
        <v>844</v>
      </c>
      <c r="K110" s="113">
        <f t="shared" si="454"/>
        <v>955</v>
      </c>
      <c r="L110" s="113">
        <f t="shared" si="454"/>
        <v>1124</v>
      </c>
      <c r="M110" s="234">
        <f t="shared" si="454"/>
        <v>1110</v>
      </c>
      <c r="N110" s="113">
        <f t="shared" si="454"/>
        <v>1188</v>
      </c>
      <c r="O110" s="113">
        <f t="shared" si="454"/>
        <v>1320</v>
      </c>
      <c r="P110" s="237">
        <f t="shared" si="454"/>
        <v>1755</v>
      </c>
      <c r="Q110" s="281">
        <f t="shared" si="446"/>
        <v>405.12</v>
      </c>
      <c r="R110" s="282">
        <f t="shared" si="447"/>
        <v>405.12</v>
      </c>
      <c r="S110" s="236"/>
      <c r="T110" s="236">
        <v>346.62</v>
      </c>
      <c r="U110" s="236">
        <v>722.13</v>
      </c>
      <c r="V110" s="236">
        <v>817.28</v>
      </c>
      <c r="W110" s="236">
        <v>961.71</v>
      </c>
      <c r="X110" s="236">
        <v>950.84</v>
      </c>
      <c r="Y110" s="236">
        <v>1017.96</v>
      </c>
      <c r="Z110" s="236">
        <v>1131.42</v>
      </c>
      <c r="AA110" s="236">
        <v>1508.56</v>
      </c>
      <c r="AC110">
        <f t="shared" si="448"/>
        <v>42.2</v>
      </c>
      <c r="AD110">
        <f t="shared" si="439"/>
        <v>47.75</v>
      </c>
      <c r="AE110">
        <f t="shared" si="440"/>
        <v>56.2</v>
      </c>
      <c r="AF110">
        <f t="shared" si="441"/>
        <v>55.5</v>
      </c>
      <c r="AG110">
        <f t="shared" si="442"/>
        <v>59.4</v>
      </c>
      <c r="AH110">
        <f t="shared" si="443"/>
        <v>66</v>
      </c>
      <c r="AI110">
        <f t="shared" si="444"/>
        <v>87.75</v>
      </c>
      <c r="AJ110">
        <f t="shared" si="428"/>
        <v>551</v>
      </c>
      <c r="AL110" s="294">
        <v>346.56</v>
      </c>
      <c r="AM110" t="str">
        <f t="shared" si="445"/>
        <v>MACHIQUES DE PERIJA</v>
      </c>
      <c r="AN110">
        <f t="shared" si="449"/>
        <v>1538</v>
      </c>
      <c r="AO110" s="352">
        <f t="shared" si="436"/>
        <v>1362</v>
      </c>
      <c r="AP110" s="352">
        <f t="shared" si="437"/>
        <v>1427</v>
      </c>
      <c r="AQ110" s="352">
        <f t="shared" si="438"/>
        <v>506</v>
      </c>
      <c r="AR110" s="282">
        <f t="shared" si="450"/>
        <v>1538</v>
      </c>
      <c r="AS110" s="282">
        <f t="shared" si="451"/>
        <v>1362</v>
      </c>
      <c r="AT110" s="282">
        <f t="shared" si="452"/>
        <v>1427</v>
      </c>
      <c r="AU110" s="282">
        <f t="shared" si="453"/>
        <v>506</v>
      </c>
      <c r="AY110" t="s">
        <v>119</v>
      </c>
      <c r="AZ110">
        <v>706</v>
      </c>
      <c r="BA110" s="352">
        <v>505.97027012969943</v>
      </c>
      <c r="BB110" s="352">
        <v>843.67329107076898</v>
      </c>
      <c r="BC110" s="352">
        <v>954.6829346327122</v>
      </c>
      <c r="BD110" s="352">
        <v>1124.1187063851519</v>
      </c>
      <c r="BE110" s="352">
        <v>1109.6299104352606</v>
      </c>
      <c r="BF110" s="352">
        <v>1187.8057295721296</v>
      </c>
      <c r="BG110" s="352">
        <v>1319.6544991611775</v>
      </c>
      <c r="BH110" s="352">
        <v>1362.3134234089375</v>
      </c>
      <c r="BI110" s="352">
        <v>1427.0605245619172</v>
      </c>
      <c r="BJ110" s="352">
        <v>1754.530016152115</v>
      </c>
    </row>
    <row r="111" spans="1:62" ht="15.75" customHeight="1">
      <c r="A111" s="62" t="s">
        <v>330</v>
      </c>
      <c r="B111" s="333">
        <v>240</v>
      </c>
      <c r="C111" s="45">
        <f t="shared" si="429"/>
        <v>299</v>
      </c>
      <c r="D111" s="45">
        <f t="shared" si="430"/>
        <v>340</v>
      </c>
      <c r="E111" s="45">
        <f t="shared" si="431"/>
        <v>399</v>
      </c>
      <c r="F111" s="45">
        <f t="shared" si="432"/>
        <v>395</v>
      </c>
      <c r="G111" s="45">
        <f t="shared" si="433"/>
        <v>423</v>
      </c>
      <c r="H111" s="45">
        <f t="shared" si="434"/>
        <v>470</v>
      </c>
      <c r="I111" s="45">
        <f t="shared" si="435"/>
        <v>641</v>
      </c>
      <c r="J111" s="113">
        <f t="shared" si="454"/>
        <v>299</v>
      </c>
      <c r="K111" s="113">
        <f t="shared" ref="K111:K114" si="455">D111*$M$1</f>
        <v>340</v>
      </c>
      <c r="L111" s="113">
        <f t="shared" ref="L111:L114" si="456">E111*$M$1</f>
        <v>399</v>
      </c>
      <c r="M111" s="113">
        <f t="shared" ref="M111:M114" si="457">F111*$M$1</f>
        <v>395</v>
      </c>
      <c r="N111" s="113">
        <f t="shared" ref="N111:N114" si="458">G111*$M$1</f>
        <v>423</v>
      </c>
      <c r="O111" s="113">
        <f t="shared" ref="O111:O114" si="459">H111*$M$1</f>
        <v>470</v>
      </c>
      <c r="P111" s="113">
        <f t="shared" ref="P111:P114" si="460">I111*$M$1</f>
        <v>641</v>
      </c>
      <c r="Q111" s="45">
        <f>($B$111*Q71)/$B$71</f>
        <v>143.76959999999997</v>
      </c>
      <c r="R111" s="113">
        <f t="shared" si="447"/>
        <v>143.76959999999997</v>
      </c>
      <c r="S111" s="236"/>
      <c r="T111" s="236"/>
      <c r="U111" s="236"/>
      <c r="V111" s="236"/>
      <c r="W111" s="236"/>
      <c r="X111" s="236"/>
      <c r="Y111" s="236"/>
      <c r="Z111" s="236"/>
      <c r="AA111" s="236"/>
      <c r="AC111">
        <f t="shared" si="448"/>
        <v>14.95</v>
      </c>
      <c r="AJ111">
        <f t="shared" si="428"/>
        <v>196</v>
      </c>
      <c r="AL111" s="294"/>
      <c r="AM111" t="str">
        <f t="shared" si="445"/>
        <v>YARITAGUA</v>
      </c>
      <c r="AN111">
        <f t="shared" ref="AN111" si="461">ROUND(H111+((20-10)/(30-10)*(I111-H111)),0)</f>
        <v>556</v>
      </c>
      <c r="AO111" s="352">
        <f t="shared" si="436"/>
        <v>487</v>
      </c>
      <c r="AP111" s="352">
        <f t="shared" si="437"/>
        <v>513</v>
      </c>
      <c r="AQ111" s="352">
        <f t="shared" si="438"/>
        <v>180</v>
      </c>
      <c r="AR111" s="282">
        <f t="shared" ref="AR111" si="462">AN111*$M$1</f>
        <v>556</v>
      </c>
      <c r="AS111" s="282">
        <f t="shared" ref="AS111" si="463">AO111*$M$1</f>
        <v>487</v>
      </c>
      <c r="AT111" s="282">
        <f t="shared" ref="AT111" si="464">AP111*$M$1</f>
        <v>513</v>
      </c>
      <c r="AU111" s="282">
        <f t="shared" ref="AU111" si="465">AQ111*$M$1</f>
        <v>180</v>
      </c>
      <c r="AY111" t="s">
        <v>330</v>
      </c>
      <c r="AZ111">
        <v>240</v>
      </c>
      <c r="BA111" s="352">
        <v>179.58860483268521</v>
      </c>
      <c r="BB111" s="352">
        <v>299.20620201285567</v>
      </c>
      <c r="BC111" s="352">
        <v>340.36095842354581</v>
      </c>
      <c r="BD111" s="352">
        <v>399.31236625507501</v>
      </c>
      <c r="BE111" s="352">
        <v>395.45026076159678</v>
      </c>
      <c r="BF111" s="352">
        <v>423.22064424204598</v>
      </c>
      <c r="BG111" s="352">
        <v>469.87488848920066</v>
      </c>
      <c r="BH111" s="352">
        <v>486.59889508032086</v>
      </c>
      <c r="BI111" s="352">
        <v>512.64128342835807</v>
      </c>
      <c r="BJ111" s="352">
        <v>641.13766229787609</v>
      </c>
    </row>
    <row r="112" spans="1:62" ht="15.75" customHeight="1">
      <c r="A112" s="62" t="s">
        <v>335</v>
      </c>
      <c r="B112" s="333">
        <v>137</v>
      </c>
      <c r="C112" s="45">
        <f t="shared" si="429"/>
        <v>202</v>
      </c>
      <c r="D112" s="45">
        <f t="shared" si="430"/>
        <v>227</v>
      </c>
      <c r="E112" s="45">
        <f t="shared" si="431"/>
        <v>268</v>
      </c>
      <c r="F112" s="45">
        <f t="shared" si="432"/>
        <v>265</v>
      </c>
      <c r="G112" s="45">
        <f t="shared" si="433"/>
        <v>283</v>
      </c>
      <c r="H112" s="45">
        <f t="shared" si="434"/>
        <v>315</v>
      </c>
      <c r="I112" s="45">
        <f t="shared" si="435"/>
        <v>419</v>
      </c>
      <c r="J112" s="113">
        <f t="shared" ref="J112" si="466">C112*$M$1</f>
        <v>202</v>
      </c>
      <c r="K112" s="113">
        <f t="shared" ref="K112" si="467">D112*$M$1</f>
        <v>227</v>
      </c>
      <c r="L112" s="113">
        <f t="shared" ref="L112" si="468">E112*$M$1</f>
        <v>268</v>
      </c>
      <c r="M112" s="113">
        <f t="shared" ref="M112" si="469">F112*$M$1</f>
        <v>265</v>
      </c>
      <c r="N112" s="113">
        <f t="shared" ref="N112" si="470">G112*$M$1</f>
        <v>283</v>
      </c>
      <c r="O112" s="113">
        <f t="shared" ref="O112" si="471">H112*$M$1</f>
        <v>315</v>
      </c>
      <c r="P112" s="113">
        <f t="shared" ref="P112" si="472">I112*$M$1</f>
        <v>419</v>
      </c>
      <c r="Q112" s="45">
        <f t="shared" ref="Q112" si="473">($B$112*Q47)/$B$47</f>
        <v>96.886399999999995</v>
      </c>
      <c r="R112" s="113">
        <f t="shared" si="447"/>
        <v>96.886399999999995</v>
      </c>
      <c r="S112" s="236"/>
      <c r="T112" s="236"/>
      <c r="U112" s="236"/>
      <c r="V112" s="236"/>
      <c r="W112" s="236"/>
      <c r="X112" s="236"/>
      <c r="Y112" s="236"/>
      <c r="Z112" s="236"/>
      <c r="AA112" s="236"/>
      <c r="AL112" s="294"/>
      <c r="AM112" t="str">
        <f t="shared" si="445"/>
        <v>TUCACAS</v>
      </c>
      <c r="AN112">
        <f t="shared" ref="AN112:AN113" si="474">ROUND(H112+((20-10)/(30-10)*(I112-H112)),0)</f>
        <v>367</v>
      </c>
      <c r="AO112" s="352">
        <f t="shared" si="436"/>
        <v>326</v>
      </c>
      <c r="AP112" s="352">
        <f t="shared" si="437"/>
        <v>341</v>
      </c>
      <c r="AQ112" s="352">
        <f t="shared" si="438"/>
        <v>121</v>
      </c>
      <c r="AR112" s="282">
        <f t="shared" ref="AR112" si="475">AN112*$M$1</f>
        <v>367</v>
      </c>
      <c r="AS112" s="282">
        <f t="shared" ref="AS112" si="476">AO112*$M$1</f>
        <v>326</v>
      </c>
      <c r="AT112" s="282">
        <f t="shared" ref="AT112" si="477">AP112*$M$1</f>
        <v>341</v>
      </c>
      <c r="AU112" s="282">
        <f t="shared" ref="AU112" si="478">AQ112*$M$1</f>
        <v>121</v>
      </c>
      <c r="AY112" t="s">
        <v>335</v>
      </c>
      <c r="AZ112">
        <v>137</v>
      </c>
      <c r="BA112" s="352">
        <v>121.21037467544339</v>
      </c>
      <c r="BB112" s="352">
        <v>201.75296943641558</v>
      </c>
      <c r="BC112" s="352">
        <v>226.58410413628212</v>
      </c>
      <c r="BD112" s="352">
        <v>267.96932863605969</v>
      </c>
      <c r="BE112" s="352">
        <v>264.61480671519695</v>
      </c>
      <c r="BF112" s="352">
        <v>283.22053531235923</v>
      </c>
      <c r="BG112" s="352">
        <v>315.26373456302764</v>
      </c>
      <c r="BH112" s="352">
        <v>325.68135923338508</v>
      </c>
      <c r="BI112" s="352">
        <v>341.25417668150214</v>
      </c>
      <c r="BJ112" s="352">
        <v>418.71230895712029</v>
      </c>
    </row>
    <row r="113" spans="1:62" ht="15.75" customHeight="1">
      <c r="A113" s="62" t="s">
        <v>114</v>
      </c>
      <c r="B113" s="333">
        <v>334</v>
      </c>
      <c r="C113" s="45">
        <f t="shared" si="429"/>
        <v>413</v>
      </c>
      <c r="D113" s="45">
        <f t="shared" si="430"/>
        <v>468</v>
      </c>
      <c r="E113" s="45">
        <f t="shared" si="431"/>
        <v>551</v>
      </c>
      <c r="F113" s="45">
        <f t="shared" si="432"/>
        <v>556</v>
      </c>
      <c r="G113" s="45">
        <f t="shared" si="433"/>
        <v>596</v>
      </c>
      <c r="H113" s="45">
        <f t="shared" si="434"/>
        <v>661</v>
      </c>
      <c r="I113" s="45">
        <f t="shared" si="435"/>
        <v>913</v>
      </c>
      <c r="J113" s="113">
        <f t="shared" si="454"/>
        <v>413</v>
      </c>
      <c r="K113" s="113">
        <f t="shared" si="455"/>
        <v>468</v>
      </c>
      <c r="L113" s="113">
        <f t="shared" si="456"/>
        <v>551</v>
      </c>
      <c r="M113" s="113">
        <f t="shared" si="457"/>
        <v>556</v>
      </c>
      <c r="N113" s="113">
        <f t="shared" si="458"/>
        <v>596</v>
      </c>
      <c r="O113" s="113">
        <f t="shared" si="459"/>
        <v>661</v>
      </c>
      <c r="P113" s="113">
        <f t="shared" si="460"/>
        <v>913</v>
      </c>
      <c r="Q113" s="45">
        <f>T104</f>
        <v>171.14</v>
      </c>
      <c r="R113" s="113">
        <f t="shared" si="447"/>
        <v>171.14</v>
      </c>
      <c r="S113" s="236"/>
      <c r="T113" s="236"/>
      <c r="U113" s="236"/>
      <c r="V113" s="236"/>
      <c r="W113" s="236"/>
      <c r="X113" s="236"/>
      <c r="Y113" s="236"/>
      <c r="Z113" s="236"/>
      <c r="AA113" s="236"/>
      <c r="AC113">
        <f t="shared" si="448"/>
        <v>20.65</v>
      </c>
      <c r="AJ113">
        <f t="shared" si="428"/>
        <v>252</v>
      </c>
      <c r="AL113" s="294"/>
      <c r="AM113" t="str">
        <f t="shared" si="445"/>
        <v>CORO</v>
      </c>
      <c r="AN113">
        <f t="shared" si="474"/>
        <v>787</v>
      </c>
      <c r="AO113" s="352">
        <f t="shared" si="436"/>
        <v>686</v>
      </c>
      <c r="AP113" s="352">
        <f t="shared" si="437"/>
        <v>723</v>
      </c>
      <c r="AQ113" s="352">
        <f t="shared" si="438"/>
        <v>248</v>
      </c>
      <c r="AR113" s="282">
        <f t="shared" ref="AR113:AR114" si="479">AN113*$M$1</f>
        <v>787</v>
      </c>
      <c r="AS113" s="282">
        <f t="shared" ref="AS113:AS114" si="480">AO113*$M$1</f>
        <v>686</v>
      </c>
      <c r="AT113" s="282">
        <f t="shared" ref="AT113:AT114" si="481">AP113*$M$1</f>
        <v>723</v>
      </c>
      <c r="AU113" s="282">
        <f t="shared" ref="AU113:AU114" si="482">AQ113*$M$1</f>
        <v>248</v>
      </c>
      <c r="AY113" t="s">
        <v>114</v>
      </c>
      <c r="AZ113">
        <v>334</v>
      </c>
      <c r="BA113" s="352">
        <v>247.62062802645193</v>
      </c>
      <c r="BB113" s="352">
        <v>412.55447998388399</v>
      </c>
      <c r="BC113" s="352">
        <v>467.79470793707463</v>
      </c>
      <c r="BD113" s="352">
        <v>550.65504986686074</v>
      </c>
      <c r="BE113" s="352">
        <v>556.00327642269679</v>
      </c>
      <c r="BF113" s="352">
        <v>595.83582955226223</v>
      </c>
      <c r="BG113" s="352">
        <v>660.55939499429735</v>
      </c>
      <c r="BH113" s="352">
        <v>685.66371601770356</v>
      </c>
      <c r="BI113" s="352">
        <v>723.00923895116966</v>
      </c>
      <c r="BJ113" s="352">
        <v>913.03832049657854</v>
      </c>
    </row>
    <row r="114" spans="1:62" ht="15.75" customHeight="1">
      <c r="A114" s="62" t="s">
        <v>339</v>
      </c>
      <c r="B114" s="333">
        <v>62</v>
      </c>
      <c r="C114" s="45">
        <f t="shared" si="429"/>
        <v>131</v>
      </c>
      <c r="D114" s="45">
        <f t="shared" si="430"/>
        <v>148</v>
      </c>
      <c r="E114" s="45">
        <f t="shared" si="431"/>
        <v>175</v>
      </c>
      <c r="F114" s="45">
        <f t="shared" si="432"/>
        <v>190</v>
      </c>
      <c r="G114" s="45">
        <f t="shared" si="433"/>
        <v>203</v>
      </c>
      <c r="H114" s="45">
        <f t="shared" si="434"/>
        <v>212</v>
      </c>
      <c r="I114" s="45">
        <f t="shared" si="435"/>
        <v>286</v>
      </c>
      <c r="J114" s="113">
        <f t="shared" si="454"/>
        <v>131</v>
      </c>
      <c r="K114" s="113">
        <f t="shared" si="455"/>
        <v>148</v>
      </c>
      <c r="L114" s="113">
        <f t="shared" si="456"/>
        <v>175</v>
      </c>
      <c r="M114" s="347">
        <f t="shared" si="457"/>
        <v>190</v>
      </c>
      <c r="N114" s="113">
        <f t="shared" si="458"/>
        <v>203</v>
      </c>
      <c r="O114" s="113">
        <f t="shared" si="459"/>
        <v>212</v>
      </c>
      <c r="P114" s="113">
        <f t="shared" si="460"/>
        <v>286</v>
      </c>
      <c r="Q114" s="281">
        <f t="shared" ref="Q114" si="483">1.2*C114/2.5</f>
        <v>62.879999999999995</v>
      </c>
      <c r="R114" s="113">
        <f t="shared" si="447"/>
        <v>62.879999999999995</v>
      </c>
      <c r="S114" s="236"/>
      <c r="T114" s="236">
        <v>58</v>
      </c>
      <c r="U114" s="236">
        <v>120.83</v>
      </c>
      <c r="V114" s="236">
        <v>135.94</v>
      </c>
      <c r="W114" s="236">
        <v>160.75</v>
      </c>
      <c r="X114" s="236">
        <v>174.83</v>
      </c>
      <c r="Y114" s="236">
        <v>187.16</v>
      </c>
      <c r="Z114" s="236">
        <v>195</v>
      </c>
      <c r="AA114" s="236">
        <v>264.10000000000002</v>
      </c>
      <c r="AC114">
        <f t="shared" si="448"/>
        <v>6.55</v>
      </c>
      <c r="AD114">
        <f t="shared" ref="AD114" si="484">D114/($B$16*2)</f>
        <v>7.4</v>
      </c>
      <c r="AE114">
        <f t="shared" ref="AE114" si="485">E114/($B$16*2)</f>
        <v>8.75</v>
      </c>
      <c r="AF114">
        <f t="shared" ref="AF114" si="486">F114/($B$16*2)</f>
        <v>9.5</v>
      </c>
      <c r="AG114">
        <f t="shared" ref="AG114" si="487">G114/($B$16*2)</f>
        <v>10.15</v>
      </c>
      <c r="AH114">
        <f t="shared" ref="AH114" si="488">H114/($B$16*2)</f>
        <v>10.6</v>
      </c>
      <c r="AI114">
        <f t="shared" ref="AI114" si="489">I114/($B$16*2)</f>
        <v>14.3</v>
      </c>
      <c r="AJ114">
        <f t="shared" si="428"/>
        <v>86</v>
      </c>
      <c r="AL114" s="294">
        <v>58.08</v>
      </c>
      <c r="AM114" t="str">
        <f t="shared" si="445"/>
        <v>OCUMARE COSTA</v>
      </c>
      <c r="AN114">
        <v>62</v>
      </c>
      <c r="AO114" s="352">
        <f t="shared" si="436"/>
        <v>219</v>
      </c>
      <c r="AP114" s="352">
        <f t="shared" si="437"/>
        <v>230</v>
      </c>
      <c r="AQ114" s="352">
        <f t="shared" si="438"/>
        <v>79</v>
      </c>
      <c r="AR114" s="282">
        <f t="shared" si="479"/>
        <v>62</v>
      </c>
      <c r="AS114" s="282">
        <f t="shared" si="480"/>
        <v>219</v>
      </c>
      <c r="AT114" s="282">
        <f t="shared" si="481"/>
        <v>230</v>
      </c>
      <c r="AU114" s="282">
        <f t="shared" si="482"/>
        <v>79</v>
      </c>
      <c r="AY114" t="s">
        <v>339</v>
      </c>
      <c r="AZ114">
        <v>62</v>
      </c>
      <c r="BA114" s="352">
        <v>79.286488592468856</v>
      </c>
      <c r="BB114" s="352">
        <v>131.42007013272234</v>
      </c>
      <c r="BC114" s="352">
        <v>147.71181436405158</v>
      </c>
      <c r="BD114" s="352">
        <v>174.86472141626692</v>
      </c>
      <c r="BE114" s="352">
        <v>189.98926399259744</v>
      </c>
      <c r="BF114" s="352">
        <v>203.01709923780413</v>
      </c>
      <c r="BG114" s="352">
        <v>211.7023227346086</v>
      </c>
      <c r="BH114" s="352">
        <v>219.22538307092628</v>
      </c>
      <c r="BI114" s="352">
        <v>230.00124461488119</v>
      </c>
      <c r="BJ114" s="352">
        <v>286.32614451917306</v>
      </c>
    </row>
    <row r="115" spans="1:62" ht="15.75" customHeight="1">
      <c r="A115" s="62" t="s">
        <v>349</v>
      </c>
      <c r="B115" s="333">
        <v>230</v>
      </c>
      <c r="C115" s="45">
        <f t="shared" si="429"/>
        <v>286</v>
      </c>
      <c r="D115" s="45">
        <f t="shared" si="430"/>
        <v>327</v>
      </c>
      <c r="E115" s="45">
        <f t="shared" si="431"/>
        <v>382</v>
      </c>
      <c r="F115" s="45">
        <f t="shared" si="432"/>
        <v>380</v>
      </c>
      <c r="G115" s="45">
        <f t="shared" si="433"/>
        <v>406</v>
      </c>
      <c r="H115" s="45">
        <f t="shared" si="434"/>
        <v>450</v>
      </c>
      <c r="I115" s="45">
        <f t="shared" si="435"/>
        <v>615</v>
      </c>
      <c r="J115" s="113">
        <f t="shared" ref="J115" si="490">C115*$M$1</f>
        <v>286</v>
      </c>
      <c r="K115" s="113">
        <f t="shared" ref="K115" si="491">D115*$M$1</f>
        <v>327</v>
      </c>
      <c r="L115" s="113">
        <f t="shared" ref="L115" si="492">E115*$M$1</f>
        <v>382</v>
      </c>
      <c r="M115" s="347">
        <f t="shared" ref="M115" si="493">F115*$M$1</f>
        <v>380</v>
      </c>
      <c r="N115" s="113">
        <f t="shared" ref="N115" si="494">G115*$M$1</f>
        <v>406</v>
      </c>
      <c r="O115" s="113">
        <f t="shared" ref="O115" si="495">H115*$M$1</f>
        <v>450</v>
      </c>
      <c r="P115" s="113">
        <f t="shared" ref="P115" si="496">I115*$M$1</f>
        <v>615</v>
      </c>
      <c r="Q115" s="45">
        <f t="shared" ref="Q115" si="497">($B$115*Q111)/$B$111</f>
        <v>137.77919999999997</v>
      </c>
      <c r="R115" s="351"/>
      <c r="S115" s="236"/>
      <c r="T115" s="236"/>
      <c r="U115" s="236"/>
      <c r="V115" s="236"/>
      <c r="W115" s="236"/>
      <c r="X115" s="236"/>
      <c r="Y115" s="236"/>
      <c r="Z115" s="236"/>
      <c r="AA115" s="236"/>
      <c r="AL115" s="294"/>
      <c r="AM115" t="str">
        <f t="shared" si="445"/>
        <v>HIGUEROTE</v>
      </c>
      <c r="AN115">
        <v>230</v>
      </c>
      <c r="AO115" s="352">
        <f t="shared" si="436"/>
        <v>467</v>
      </c>
      <c r="AP115" s="352">
        <f t="shared" si="437"/>
        <v>491</v>
      </c>
      <c r="AQ115" s="352">
        <f t="shared" si="438"/>
        <v>171</v>
      </c>
      <c r="AR115" s="282">
        <f t="shared" ref="AR115" si="498">AN115*$M$1</f>
        <v>230</v>
      </c>
      <c r="AS115" s="282">
        <f t="shared" ref="AS115" si="499">AO115*$M$1</f>
        <v>467</v>
      </c>
      <c r="AT115" s="282">
        <f t="shared" ref="AT115" si="500">AP115*$M$1</f>
        <v>491</v>
      </c>
      <c r="AU115" s="282">
        <f t="shared" ref="AU115" si="501">AQ115*$M$1</f>
        <v>171</v>
      </c>
      <c r="AY115" t="s">
        <v>349</v>
      </c>
      <c r="AZ115">
        <v>230</v>
      </c>
      <c r="BA115" s="352">
        <v>171.48186137442747</v>
      </c>
      <c r="BB115" s="352">
        <v>286.18932269921339</v>
      </c>
      <c r="BC115" s="352">
        <v>326.74246559181449</v>
      </c>
      <c r="BD115" s="352">
        <v>382.3582044159532</v>
      </c>
      <c r="BE115" s="352">
        <v>379.53628913407556</v>
      </c>
      <c r="BF115" s="352">
        <v>406.15011428676985</v>
      </c>
      <c r="BG115" s="352">
        <v>450.12078193035182</v>
      </c>
      <c r="BH115" s="352">
        <v>466.95922431857133</v>
      </c>
      <c r="BI115" s="352">
        <v>490.71425019292553</v>
      </c>
      <c r="BJ115" s="352">
        <v>614.80483095098282</v>
      </c>
    </row>
    <row r="116" spans="1:62" ht="12.75" customHeight="1">
      <c r="A116" s="40"/>
      <c r="B116" s="41">
        <f>AVERAGE(B16:B115)</f>
        <v>326.36170212765956</v>
      </c>
      <c r="C116" s="41">
        <f t="shared" ref="C116:H116" si="502">AVERAGE(C16:C110)</f>
        <v>393.56842105263161</v>
      </c>
      <c r="D116" s="41">
        <f t="shared" si="502"/>
        <v>445.85263157894735</v>
      </c>
      <c r="E116" s="41">
        <f t="shared" si="502"/>
        <v>524.6</v>
      </c>
      <c r="F116" s="41">
        <f t="shared" si="502"/>
        <v>529.28421052631575</v>
      </c>
      <c r="G116" s="41">
        <f t="shared" si="502"/>
        <v>565.7578947368421</v>
      </c>
      <c r="H116" s="41">
        <f t="shared" si="502"/>
        <v>625.85263157894735</v>
      </c>
      <c r="I116" s="41">
        <f>AVERAGE(I16:I110)</f>
        <v>851.44210526315794</v>
      </c>
    </row>
    <row r="117" spans="1:62" ht="12.75" customHeight="1">
      <c r="A117" s="40"/>
      <c r="B117" s="41"/>
      <c r="C117" s="41"/>
      <c r="D117" s="45"/>
      <c r="E117" s="45"/>
      <c r="F117" s="60"/>
      <c r="H117" s="46"/>
      <c r="I117" s="46"/>
    </row>
    <row r="118" spans="1:62" ht="12.75" customHeight="1">
      <c r="H118">
        <f>H116/$B$116</f>
        <v>1.9176656681798374</v>
      </c>
      <c r="I118">
        <f>I116/$B$116</f>
        <v>2.6088909933743025</v>
      </c>
    </row>
    <row r="119" spans="1:62" ht="12.75" customHeight="1">
      <c r="A119" s="256" t="s">
        <v>235</v>
      </c>
      <c r="B119" s="255"/>
      <c r="C119" s="255"/>
      <c r="D119" s="255"/>
    </row>
    <row r="120" spans="1:62" ht="15.75" customHeight="1">
      <c r="A120" s="257"/>
      <c r="B120" s="253"/>
      <c r="C120" s="253"/>
      <c r="D120" s="74">
        <f>723</f>
        <v>723</v>
      </c>
    </row>
    <row r="121" spans="1:62" ht="15.75" customHeight="1">
      <c r="A121" s="256" t="s">
        <v>236</v>
      </c>
    </row>
    <row r="122" spans="1:62" ht="15.75" customHeight="1">
      <c r="A122" s="258"/>
      <c r="B122" s="254"/>
      <c r="C122" s="254"/>
      <c r="D122" s="74"/>
    </row>
    <row r="123" spans="1:62" ht="15.75" customHeight="1">
      <c r="A123" s="259" t="s">
        <v>250</v>
      </c>
    </row>
    <row r="124" spans="1:62" ht="15.75" customHeight="1">
      <c r="A124" s="259" t="s">
        <v>251</v>
      </c>
      <c r="B124" s="254"/>
      <c r="C124" s="254"/>
      <c r="D124" s="74"/>
    </row>
    <row r="125" spans="1:62" ht="12.75" customHeight="1">
      <c r="A125" s="259" t="s">
        <v>252</v>
      </c>
    </row>
    <row r="126" spans="1:62" ht="19.5" customHeight="1">
      <c r="A126" s="259" t="s">
        <v>337</v>
      </c>
    </row>
    <row r="127" spans="1:62" ht="21.75" customHeight="1">
      <c r="A127" s="259" t="s">
        <v>253</v>
      </c>
    </row>
    <row r="128" spans="1:62" ht="12.75" customHeight="1">
      <c r="A128" s="259" t="s">
        <v>237</v>
      </c>
    </row>
    <row r="129" spans="1:9" ht="12.75" customHeight="1">
      <c r="A129" s="259" t="s">
        <v>238</v>
      </c>
    </row>
    <row r="130" spans="1:9" ht="12.75" customHeight="1">
      <c r="A130" s="259" t="s">
        <v>258</v>
      </c>
    </row>
    <row r="131" spans="1:9" ht="12.75" customHeight="1">
      <c r="A131" s="259" t="s">
        <v>254</v>
      </c>
    </row>
    <row r="132" spans="1:9" ht="12.75" customHeight="1">
      <c r="A132" s="259" t="s">
        <v>259</v>
      </c>
    </row>
    <row r="133" spans="1:9" ht="12.75" customHeight="1"/>
    <row r="134" spans="1:9" ht="12.75" customHeight="1">
      <c r="A134" s="259"/>
    </row>
    <row r="135" spans="1:9" ht="12.75" customHeight="1">
      <c r="A135" s="259"/>
    </row>
    <row r="136" spans="1:9" ht="12.75" customHeight="1">
      <c r="A136" s="259"/>
    </row>
    <row r="137" spans="1:9" ht="12.75" customHeight="1">
      <c r="A137" s="259"/>
    </row>
    <row r="138" spans="1:9" ht="12.75" customHeight="1">
      <c r="A138" s="259"/>
    </row>
    <row r="139" spans="1:9" ht="17.25" customHeight="1">
      <c r="A139" s="259"/>
      <c r="B139" s="235">
        <v>1.2</v>
      </c>
      <c r="C139" s="39" t="s">
        <v>121</v>
      </c>
      <c r="D139" s="44" t="s">
        <v>224</v>
      </c>
      <c r="E139" s="44" t="s">
        <v>124</v>
      </c>
      <c r="F139" s="44" t="s">
        <v>208</v>
      </c>
      <c r="G139" s="44" t="s">
        <v>122</v>
      </c>
      <c r="H139" s="44" t="s">
        <v>126</v>
      </c>
      <c r="I139" s="44" t="s">
        <v>127</v>
      </c>
    </row>
    <row r="140" spans="1:9" ht="12.75" customHeight="1">
      <c r="A140" s="317" t="s">
        <v>273</v>
      </c>
      <c r="B140" s="294">
        <v>55.679999999999993</v>
      </c>
      <c r="C140" s="294">
        <v>116</v>
      </c>
      <c r="D140" s="294">
        <v>132</v>
      </c>
      <c r="E140" s="318">
        <v>155</v>
      </c>
      <c r="F140" s="318">
        <v>170</v>
      </c>
      <c r="G140" s="318">
        <v>180</v>
      </c>
      <c r="H140" s="319">
        <v>188</v>
      </c>
      <c r="I140" s="294">
        <v>252</v>
      </c>
    </row>
    <row r="141" spans="1:9" ht="12.75" customHeight="1">
      <c r="A141" s="317" t="s">
        <v>274</v>
      </c>
      <c r="B141" s="294">
        <v>49.44</v>
      </c>
      <c r="C141" s="294">
        <v>103</v>
      </c>
      <c r="D141" s="294">
        <v>118</v>
      </c>
      <c r="E141" s="318">
        <v>138</v>
      </c>
      <c r="F141" s="318">
        <v>153</v>
      </c>
      <c r="G141" s="318">
        <v>160</v>
      </c>
      <c r="H141" s="319">
        <v>168</v>
      </c>
      <c r="I141" s="294">
        <v>236</v>
      </c>
    </row>
    <row r="142" spans="1:9" ht="12.75" customHeight="1">
      <c r="A142" s="317" t="s">
        <v>275</v>
      </c>
      <c r="B142" s="294">
        <v>39.36</v>
      </c>
      <c r="C142" s="294">
        <v>82</v>
      </c>
      <c r="D142" s="294">
        <v>92</v>
      </c>
      <c r="E142" s="318">
        <v>109</v>
      </c>
      <c r="F142" s="318">
        <v>120</v>
      </c>
      <c r="G142" s="318">
        <v>127</v>
      </c>
      <c r="H142" s="319">
        <v>134</v>
      </c>
      <c r="I142" s="294">
        <v>184</v>
      </c>
    </row>
    <row r="143" spans="1:9" ht="12.75" customHeight="1">
      <c r="A143" s="317" t="s">
        <v>276</v>
      </c>
      <c r="B143" s="294">
        <v>39.36</v>
      </c>
      <c r="C143" s="294">
        <v>82</v>
      </c>
      <c r="D143" s="294">
        <v>92</v>
      </c>
      <c r="E143" s="318">
        <v>109</v>
      </c>
      <c r="F143" s="318">
        <v>120</v>
      </c>
      <c r="G143" s="318">
        <v>127</v>
      </c>
      <c r="H143" s="319">
        <v>134</v>
      </c>
      <c r="I143" s="294">
        <v>184</v>
      </c>
    </row>
    <row r="144" spans="1:9" ht="12.75" customHeight="1">
      <c r="A144" s="317" t="s">
        <v>277</v>
      </c>
      <c r="B144" s="294">
        <v>39.36</v>
      </c>
      <c r="C144" s="294">
        <v>82</v>
      </c>
      <c r="D144" s="294">
        <v>92</v>
      </c>
      <c r="E144" s="318">
        <v>109</v>
      </c>
      <c r="F144" s="318">
        <v>120</v>
      </c>
      <c r="G144" s="318">
        <v>127</v>
      </c>
      <c r="H144" s="319">
        <v>134</v>
      </c>
      <c r="I144" s="294">
        <v>184</v>
      </c>
    </row>
    <row r="145" spans="1:9" ht="12.75" customHeight="1">
      <c r="A145" s="317" t="s">
        <v>278</v>
      </c>
      <c r="B145" s="294">
        <v>56.64</v>
      </c>
      <c r="C145" s="294">
        <v>118</v>
      </c>
      <c r="D145" s="294">
        <v>134</v>
      </c>
      <c r="E145" s="318">
        <v>158</v>
      </c>
      <c r="F145" s="318">
        <v>174</v>
      </c>
      <c r="G145" s="318">
        <v>184</v>
      </c>
      <c r="H145" s="319">
        <v>192</v>
      </c>
      <c r="I145" s="294">
        <v>259</v>
      </c>
    </row>
    <row r="146" spans="1:9" ht="12.75" customHeight="1">
      <c r="A146" s="317" t="s">
        <v>279</v>
      </c>
      <c r="B146" s="294">
        <v>56.64</v>
      </c>
      <c r="C146" s="294">
        <v>118</v>
      </c>
      <c r="D146" s="294">
        <v>134</v>
      </c>
      <c r="E146" s="318">
        <v>158</v>
      </c>
      <c r="F146" s="318">
        <v>174</v>
      </c>
      <c r="G146" s="318">
        <v>184</v>
      </c>
      <c r="H146" s="319">
        <v>192</v>
      </c>
      <c r="I146" s="294">
        <v>259</v>
      </c>
    </row>
    <row r="147" spans="1:9" ht="12.75" customHeight="1">
      <c r="A147" s="317" t="s">
        <v>280</v>
      </c>
      <c r="B147" s="294">
        <v>56.64</v>
      </c>
      <c r="C147" s="294">
        <v>118</v>
      </c>
      <c r="D147" s="294">
        <v>134</v>
      </c>
      <c r="E147" s="318">
        <v>158</v>
      </c>
      <c r="F147" s="318">
        <v>174</v>
      </c>
      <c r="G147" s="318">
        <v>184</v>
      </c>
      <c r="H147" s="319">
        <v>192</v>
      </c>
      <c r="I147" s="294">
        <v>259</v>
      </c>
    </row>
    <row r="148" spans="1:9" ht="12.75" customHeight="1">
      <c r="A148" s="317" t="s">
        <v>281</v>
      </c>
      <c r="B148" s="294">
        <v>56.64</v>
      </c>
      <c r="C148" s="294">
        <v>118</v>
      </c>
      <c r="D148" s="294">
        <v>134</v>
      </c>
      <c r="E148" s="318">
        <v>158</v>
      </c>
      <c r="F148" s="318">
        <v>174</v>
      </c>
      <c r="G148" s="318">
        <v>184</v>
      </c>
      <c r="H148" s="319">
        <v>192</v>
      </c>
      <c r="I148" s="294">
        <v>259</v>
      </c>
    </row>
    <row r="149" spans="1:9" ht="12.75" customHeight="1"/>
    <row r="150" spans="1:9" ht="12.75" customHeight="1"/>
    <row r="151" spans="1:9" ht="12.75" customHeight="1"/>
    <row r="152" spans="1:9" ht="12.75" customHeight="1"/>
    <row r="153" spans="1:9" ht="12.75" customHeight="1"/>
    <row r="154" spans="1:9" ht="12.75" customHeight="1"/>
    <row r="155" spans="1:9" ht="12.75" customHeight="1"/>
    <row r="156" spans="1:9" ht="12.75" customHeight="1"/>
    <row r="157" spans="1:9" ht="12.75" customHeight="1"/>
    <row r="158" spans="1:9" ht="12.75" customHeight="1"/>
    <row r="159" spans="1:9" ht="12.75" customHeight="1"/>
    <row r="160" spans="1:9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</sheetData>
  <sheetProtection algorithmName="SHA-512" hashValue="1KFkPQh2Tc6c/USytcdLntRa31YoZsWda+X+8f2UilXrOy4lJXHkFFUruNb1vVskffzE4JUxqJKSfb9dBkEcgQ==" saltValue="ttYf6Wf3grZsROt3XpBBCg==" spinCount="100000" sheet="1" objects="1" scenarios="1"/>
  <mergeCells count="4">
    <mergeCell ref="A2:B2"/>
    <mergeCell ref="AC14:AI14"/>
    <mergeCell ref="T14:AA14"/>
    <mergeCell ref="AO3:AP3"/>
  </mergeCells>
  <phoneticPr fontId="75" type="noConversion"/>
  <pageMargins left="0.70866141732283472" right="0.70866141732283472" top="0.74803149606299213" bottom="0.74803149606299213" header="0.31496062992125984" footer="0.31496062992125984"/>
  <pageSetup scale="55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1A8BA-BF78-4607-8475-640FB4E6E63B}">
  <dimension ref="A2:A101"/>
  <sheetViews>
    <sheetView tabSelected="1" workbookViewId="0">
      <selection activeCell="B2" sqref="B2"/>
    </sheetView>
  </sheetViews>
  <sheetFormatPr baseColWidth="10" defaultRowHeight="12.75"/>
  <cols>
    <col min="1" max="1" width="21.5703125" customWidth="1"/>
  </cols>
  <sheetData>
    <row r="2" spans="1:1">
      <c r="A2" t="s">
        <v>50</v>
      </c>
    </row>
    <row r="3" spans="1:1">
      <c r="A3" t="s">
        <v>55</v>
      </c>
    </row>
    <row r="4" spans="1:1">
      <c r="A4" t="s">
        <v>56</v>
      </c>
    </row>
    <row r="5" spans="1:1">
      <c r="A5" t="s">
        <v>358</v>
      </c>
    </row>
    <row r="6" spans="1:1">
      <c r="A6" t="s">
        <v>359</v>
      </c>
    </row>
    <row r="7" spans="1:1">
      <c r="A7" t="s">
        <v>360</v>
      </c>
    </row>
    <row r="8" spans="1:1">
      <c r="A8" t="s">
        <v>361</v>
      </c>
    </row>
    <row r="9" spans="1:1">
      <c r="A9" t="s">
        <v>274</v>
      </c>
    </row>
    <row r="10" spans="1:1">
      <c r="A10" t="s">
        <v>362</v>
      </c>
    </row>
    <row r="11" spans="1:1">
      <c r="A11" t="s">
        <v>209</v>
      </c>
    </row>
    <row r="12" spans="1:1">
      <c r="A12" t="s">
        <v>52</v>
      </c>
    </row>
    <row r="13" spans="1:1">
      <c r="A13" t="s">
        <v>59</v>
      </c>
    </row>
    <row r="14" spans="1:1">
      <c r="A14" t="s">
        <v>60</v>
      </c>
    </row>
    <row r="15" spans="1:1">
      <c r="A15" t="s">
        <v>61</v>
      </c>
    </row>
    <row r="16" spans="1:1">
      <c r="A16" t="s">
        <v>363</v>
      </c>
    </row>
    <row r="17" spans="1:1">
      <c r="A17" t="s">
        <v>364</v>
      </c>
    </row>
    <row r="18" spans="1:1">
      <c r="A18" t="s">
        <v>365</v>
      </c>
    </row>
    <row r="19" spans="1:1">
      <c r="A19" t="s">
        <v>154</v>
      </c>
    </row>
    <row r="20" spans="1:1">
      <c r="A20" t="s">
        <v>63</v>
      </c>
    </row>
    <row r="21" spans="1:1">
      <c r="A21" t="s">
        <v>64</v>
      </c>
    </row>
    <row r="22" spans="1:1">
      <c r="A22" t="s">
        <v>65</v>
      </c>
    </row>
    <row r="23" spans="1:1">
      <c r="A23" t="s">
        <v>66</v>
      </c>
    </row>
    <row r="24" spans="1:1">
      <c r="A24" t="s">
        <v>67</v>
      </c>
    </row>
    <row r="25" spans="1:1">
      <c r="A25" t="s">
        <v>46</v>
      </c>
    </row>
    <row r="26" spans="1:1">
      <c r="A26" t="s">
        <v>366</v>
      </c>
    </row>
    <row r="27" spans="1:1">
      <c r="A27" t="s">
        <v>367</v>
      </c>
    </row>
    <row r="28" spans="1:1">
      <c r="A28" t="s">
        <v>368</v>
      </c>
    </row>
    <row r="29" spans="1:1">
      <c r="A29" t="s">
        <v>69</v>
      </c>
    </row>
    <row r="30" spans="1:1">
      <c r="A30" t="s">
        <v>336</v>
      </c>
    </row>
    <row r="31" spans="1:1">
      <c r="A31" t="s">
        <v>333</v>
      </c>
    </row>
    <row r="32" spans="1:1">
      <c r="A32" t="s">
        <v>70</v>
      </c>
    </row>
    <row r="33" spans="1:1">
      <c r="A33" t="s">
        <v>51</v>
      </c>
    </row>
    <row r="34" spans="1:1">
      <c r="A34" t="s">
        <v>338</v>
      </c>
    </row>
    <row r="35" spans="1:1">
      <c r="A35" t="s">
        <v>48</v>
      </c>
    </row>
    <row r="36" spans="1:1">
      <c r="A36" t="s">
        <v>71</v>
      </c>
    </row>
    <row r="37" spans="1:1">
      <c r="A37" t="s">
        <v>72</v>
      </c>
    </row>
    <row r="38" spans="1:1">
      <c r="A38" t="s">
        <v>73</v>
      </c>
    </row>
    <row r="39" spans="1:1">
      <c r="A39" t="s">
        <v>74</v>
      </c>
    </row>
    <row r="40" spans="1:1">
      <c r="A40" t="s">
        <v>75</v>
      </c>
    </row>
    <row r="41" spans="1:1">
      <c r="A41" t="s">
        <v>369</v>
      </c>
    </row>
    <row r="42" spans="1:1">
      <c r="A42" t="s">
        <v>370</v>
      </c>
    </row>
    <row r="43" spans="1:1">
      <c r="A43" t="s">
        <v>77</v>
      </c>
    </row>
    <row r="44" spans="1:1">
      <c r="A44" t="s">
        <v>78</v>
      </c>
    </row>
    <row r="45" spans="1:1">
      <c r="A45" t="s">
        <v>371</v>
      </c>
    </row>
    <row r="46" spans="1:1">
      <c r="A46" t="s">
        <v>372</v>
      </c>
    </row>
    <row r="47" spans="1:1">
      <c r="A47" t="s">
        <v>41</v>
      </c>
    </row>
    <row r="48" spans="1:1">
      <c r="A48" t="s">
        <v>80</v>
      </c>
    </row>
    <row r="49" spans="1:1">
      <c r="A49" t="s">
        <v>81</v>
      </c>
    </row>
    <row r="50" spans="1:1">
      <c r="A50" t="s">
        <v>82</v>
      </c>
    </row>
    <row r="51" spans="1:1">
      <c r="A51" t="s">
        <v>83</v>
      </c>
    </row>
    <row r="52" spans="1:1">
      <c r="A52" t="s">
        <v>373</v>
      </c>
    </row>
    <row r="53" spans="1:1">
      <c r="A53" t="s">
        <v>374</v>
      </c>
    </row>
    <row r="54" spans="1:1">
      <c r="A54" t="s">
        <v>85</v>
      </c>
    </row>
    <row r="55" spans="1:1">
      <c r="A55" t="s">
        <v>86</v>
      </c>
    </row>
    <row r="56" spans="1:1">
      <c r="A56" t="s">
        <v>87</v>
      </c>
    </row>
    <row r="57" spans="1:1">
      <c r="A57" t="s">
        <v>44</v>
      </c>
    </row>
    <row r="58" spans="1:1">
      <c r="A58" t="s">
        <v>88</v>
      </c>
    </row>
    <row r="59" spans="1:1">
      <c r="A59" t="s">
        <v>283</v>
      </c>
    </row>
    <row r="60" spans="1:1">
      <c r="A60" t="s">
        <v>376</v>
      </c>
    </row>
    <row r="61" spans="1:1">
      <c r="A61" t="s">
        <v>375</v>
      </c>
    </row>
    <row r="62" spans="1:1">
      <c r="A62" t="s">
        <v>90</v>
      </c>
    </row>
    <row r="63" spans="1:1">
      <c r="A63" t="s">
        <v>91</v>
      </c>
    </row>
    <row r="64" spans="1:1">
      <c r="A64" t="s">
        <v>377</v>
      </c>
    </row>
    <row r="65" spans="1:1">
      <c r="A65" t="s">
        <v>378</v>
      </c>
    </row>
    <row r="66" spans="1:1">
      <c r="A66" t="s">
        <v>93</v>
      </c>
    </row>
    <row r="67" spans="1:1">
      <c r="A67" t="s">
        <v>40</v>
      </c>
    </row>
    <row r="68" spans="1:1">
      <c r="A68" t="s">
        <v>94</v>
      </c>
    </row>
    <row r="69" spans="1:1">
      <c r="A69" t="s">
        <v>95</v>
      </c>
    </row>
    <row r="70" spans="1:1">
      <c r="A70" t="s">
        <v>96</v>
      </c>
    </row>
    <row r="71" spans="1:1">
      <c r="A71" t="s">
        <v>97</v>
      </c>
    </row>
    <row r="72" spans="1:1">
      <c r="A72" t="s">
        <v>98</v>
      </c>
    </row>
    <row r="73" spans="1:1">
      <c r="A73" t="s">
        <v>99</v>
      </c>
    </row>
    <row r="74" spans="1:1">
      <c r="A74" t="s">
        <v>100</v>
      </c>
    </row>
    <row r="75" spans="1:1">
      <c r="A75" t="s">
        <v>101</v>
      </c>
    </row>
    <row r="76" spans="1:1">
      <c r="A76" t="s">
        <v>102</v>
      </c>
    </row>
    <row r="77" spans="1:1">
      <c r="A77" t="s">
        <v>103</v>
      </c>
    </row>
    <row r="78" spans="1:1">
      <c r="A78" t="s">
        <v>104</v>
      </c>
    </row>
    <row r="79" spans="1:1">
      <c r="A79" t="s">
        <v>105</v>
      </c>
    </row>
    <row r="80" spans="1:1">
      <c r="A80" t="s">
        <v>42</v>
      </c>
    </row>
    <row r="81" spans="1:1">
      <c r="A81" t="s">
        <v>106</v>
      </c>
    </row>
    <row r="82" spans="1:1">
      <c r="A82" t="s">
        <v>107</v>
      </c>
    </row>
    <row r="83" spans="1:1">
      <c r="A83" t="s">
        <v>108</v>
      </c>
    </row>
    <row r="84" spans="1:1">
      <c r="A84" t="s">
        <v>45</v>
      </c>
    </row>
    <row r="85" spans="1:1">
      <c r="A85" t="s">
        <v>109</v>
      </c>
    </row>
    <row r="86" spans="1:1">
      <c r="A86" t="s">
        <v>110</v>
      </c>
    </row>
    <row r="87" spans="1:1">
      <c r="A87" t="s">
        <v>111</v>
      </c>
    </row>
    <row r="88" spans="1:1">
      <c r="A88" t="s">
        <v>112</v>
      </c>
    </row>
    <row r="89" spans="1:1">
      <c r="A89" t="s">
        <v>113</v>
      </c>
    </row>
    <row r="90" spans="1:1">
      <c r="A90" t="s">
        <v>331</v>
      </c>
    </row>
    <row r="91" spans="1:1">
      <c r="A91" t="s">
        <v>115</v>
      </c>
    </row>
    <row r="92" spans="1:1">
      <c r="A92" t="s">
        <v>116</v>
      </c>
    </row>
    <row r="93" spans="1:1">
      <c r="A93" t="s">
        <v>49</v>
      </c>
    </row>
    <row r="94" spans="1:1">
      <c r="A94" t="s">
        <v>117</v>
      </c>
    </row>
    <row r="95" spans="1:1">
      <c r="A95" t="s">
        <v>118</v>
      </c>
    </row>
    <row r="96" spans="1:1">
      <c r="A96" t="s">
        <v>119</v>
      </c>
    </row>
    <row r="97" spans="1:1">
      <c r="A97" t="s">
        <v>330</v>
      </c>
    </row>
    <row r="98" spans="1:1">
      <c r="A98" t="s">
        <v>335</v>
      </c>
    </row>
    <row r="99" spans="1:1">
      <c r="A99" t="s">
        <v>114</v>
      </c>
    </row>
    <row r="100" spans="1:1">
      <c r="A100" t="s">
        <v>339</v>
      </c>
    </row>
    <row r="101" spans="1:1">
      <c r="A101" t="s">
        <v>349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RELACIÓN</vt:lpstr>
      <vt:lpstr>CALETAS EXT</vt:lpstr>
      <vt:lpstr>FACTURAS</vt:lpstr>
      <vt:lpstr>Imprimir</vt:lpstr>
      <vt:lpstr>CALCULOS</vt:lpstr>
      <vt:lpstr>Tabulador</vt:lpstr>
      <vt:lpstr>Hoja1</vt:lpstr>
      <vt:lpstr>RELACIÓN!Área_de_impresión</vt:lpstr>
      <vt:lpstr>Tabulador!Área_de_impresión</vt:lpstr>
      <vt:lpstr>Tabulador!Títulos_a_imprimir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Transporte</dc:creator>
  <cp:lastModifiedBy>Jaime Montañez</cp:lastModifiedBy>
  <cp:lastPrinted>2024-11-19T15:51:59Z</cp:lastPrinted>
  <dcterms:created xsi:type="dcterms:W3CDTF">2015-09-10T16:41:35Z</dcterms:created>
  <dcterms:modified xsi:type="dcterms:W3CDTF">2026-10-21T00:19:01Z</dcterms:modified>
</cp:coreProperties>
</file>